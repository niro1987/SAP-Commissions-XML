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vodafoneziggo.sharepoint.com/teams/dealer-finance/01_Working/Dealer Finance/Callidus/SAP-Commissions-XML/"/>
    </mc:Choice>
  </mc:AlternateContent>
  <xr:revisionPtr revIDLastSave="52046" documentId="8_{6ACC5FBD-D55D-4FC7-A59B-664E17581E22}" xr6:coauthVersionLast="45" xr6:coauthVersionMax="45" xr10:uidLastSave="{7646D9EF-FFEF-4B8C-AF61-614F2A07110D}"/>
  <bookViews>
    <workbookView xWindow="1092" yWindow="348" windowWidth="20904" windowHeight="11208" tabRatio="895" xr2:uid="{B2AD5CD5-BFA4-4ED4-8DA7-00D7F7E56F87}"/>
  </bookViews>
  <sheets>
    <sheet name="Front" sheetId="1" r:id="rId1"/>
    <sheet name="PLANS" sheetId="5" r:id="rId2"/>
    <sheet name="COMPONENTS" sheetId="6" r:id="rId3"/>
    <sheet name="CREDITRULES" sheetId="7" r:id="rId4"/>
    <sheet name="MEASUREMENTS" sheetId="9" r:id="rId5"/>
    <sheet name="INCENTIVES" sheetId="10" r:id="rId6"/>
    <sheet name="DEPOSITS" sheetId="11" r:id="rId7"/>
    <sheet name="LOOKUP_TABLES" sheetId="12" r:id="rId8"/>
    <sheet name="RATE_TABLES" sheetId="13" r:id="rId9"/>
    <sheet name="FIXED_VALUES" sheetId="14" r:id="rId10"/>
    <sheet name="VARIABLES" sheetId="15" r:id="rId11"/>
    <sheet name="FORMULAS" sheetId="16" r:id="rId12"/>
  </sheets>
  <functionGroups builtInGroupCount="19"/>
  <definedNames>
    <definedName name="_xlnm._FilterDatabase" localSheetId="0" hidden="1">Front!$B$6:$L$93</definedName>
    <definedName name="Plan_File_Path">Front!$A$2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2" i="1" l="1"/>
  <c r="E11" i="1"/>
  <c r="E10" i="1"/>
  <c r="E9" i="1"/>
  <c r="E8" i="1"/>
  <c r="B13" i="1"/>
  <c r="B12" i="1"/>
  <c r="B11" i="1"/>
  <c r="B10" i="1"/>
  <c r="B9" i="1"/>
  <c r="B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FF4830-1047-482B-B2B7-5938685EAF21}" keepAlive="1" name="Query - DirectCredits" description="Connection to the 'DirectCredits' query in the workbook." type="5" refreshedVersion="6" background="1" saveData="1">
    <dbPr connection="Provider=Microsoft.Mashup.OleDb.1;Data Source=$Workbook$;Location=DirectCredits;Extended Properties=&quot;&quot;" command="SELECT * FROM [DirectCredits]"/>
  </connection>
  <connection id="2" xr16:uid="{39586B8A-9C64-4845-903E-38C04DBE308C}" keepAlive="1" name="Query - EVENT_TYPE_EXPRESSION_TEXT" description="Connection to the 'EVENT_TYPE_EXPRESSION_TEXT' query in the workbook." type="5" refreshedVersion="0" background="1">
    <dbPr connection="Provider=Microsoft.Mashup.OleDb.1;Data Source=$Workbook$;Location=EVENT_TYPE_EXPRESSION_TEXT;Extended Properties=&quot;&quot;" command="SELECT * FROM [EVENT_TYPE_EXPRESSION_TEXT]"/>
  </connection>
  <connection id="3" xr16:uid="{4EF2B919-404B-4A19-A76D-C9DA5B3646A9}" keepAlive="1" name="Query - ObjectToText" description="Connection to the 'ObjectToText' query in the workbook." type="5" refreshedVersion="0" background="1">
    <dbPr connection="Provider=Microsoft.Mashup.OleDb.1;Data Source=$Workbook$;Location=ObjectToText;Extended Properties=&quot;&quot;" command="SELECT * FROM [ObjectToText]"/>
  </connection>
  <connection id="4" xr16:uid="{6F4C7773-C5DD-4213-9458-A8CBF8C5FCA7}" keepAlive="1" name="Query - Plan_File_Path" description="Connection to the 'Plan_File_Path' query in the workbook." type="5" refreshedVersion="0" background="1">
    <dbPr connection="Provider=Microsoft.Mashup.OleDb.1;Data Source=$Workbook$;Location=Plan_File_Path;Extended Properties=&quot;&quot;" command="SELECT * FROM [Plan_File_Path]"/>
  </connection>
  <connection id="5" xr16:uid="{CBF7376D-A6E0-4A3D-95C7-BDF31A68F4A2}" keepAlive="1" name="Query - PlanComponents" description="Connection to the 'PlanComponents' query in the workbook." type="5" refreshedVersion="6" background="1" saveData="1">
    <dbPr connection="Provider=Microsoft.Mashup.OleDb.1;Data Source=$Workbook$;Location=PlanComponents;Extended Properties=&quot;&quot;" command="SELECT * FROM [PlanComponents]"/>
  </connection>
  <connection id="6" xr16:uid="{6D4DE3AE-7F30-4EDB-861B-EF75CA3385E1}" keepAlive="1" name="Query - Plans" description="Connection to the 'Plans' query in the workbook." type="5" refreshedVersion="6" background="1" saveData="1">
    <dbPr connection="Provider=Microsoft.Mashup.OleDb.1;Data Source=$Workbook$;Location=Plans;Extended Properties=&quot;&quot;" command="SELECT * FROM [Plans]"/>
  </connection>
</connections>
</file>

<file path=xl/sharedStrings.xml><?xml version="1.0" encoding="utf-8"?>
<sst xmlns="http://schemas.openxmlformats.org/spreadsheetml/2006/main" count="293" uniqueCount="105">
  <si>
    <t>Calendar</t>
  </si>
  <si>
    <t>Name</t>
  </si>
  <si>
    <t>Start Date</t>
  </si>
  <si>
    <t>End Date</t>
  </si>
  <si>
    <t>Component</t>
  </si>
  <si>
    <t>Type</t>
  </si>
  <si>
    <t>Start</t>
  </si>
  <si>
    <t>End</t>
  </si>
  <si>
    <t>Rule</t>
  </si>
  <si>
    <t>Rule Type</t>
  </si>
  <si>
    <t>Rule Start</t>
  </si>
  <si>
    <t>Rule End</t>
  </si>
  <si>
    <t>Component Start</t>
  </si>
  <si>
    <t>Component End</t>
  </si>
  <si>
    <t>Output Name</t>
  </si>
  <si>
    <t>Display Name</t>
  </si>
  <si>
    <t>Reportable</t>
  </si>
  <si>
    <t>Period Type</t>
  </si>
  <si>
    <t>Unit Type</t>
  </si>
  <si>
    <t>Value</t>
  </si>
  <si>
    <t>Hold</t>
  </si>
  <si>
    <t>Release</t>
  </si>
  <si>
    <t>Conditions</t>
  </si>
  <si>
    <t>Credit Type</t>
  </si>
  <si>
    <t>Duplicate</t>
  </si>
  <si>
    <t>Roll Up</t>
  </si>
  <si>
    <t>Roll Date</t>
  </si>
  <si>
    <t>GA1</t>
  </si>
  <si>
    <t>GA2</t>
  </si>
  <si>
    <t>GA3</t>
  </si>
  <si>
    <t>GA4</t>
  </si>
  <si>
    <t>GA5</t>
  </si>
  <si>
    <t>GA6</t>
  </si>
  <si>
    <t>GA7</t>
  </si>
  <si>
    <t>GA8</t>
  </si>
  <si>
    <t>GA9</t>
  </si>
  <si>
    <t>GA10</t>
  </si>
  <si>
    <t>GA11</t>
  </si>
  <si>
    <t>GA12</t>
  </si>
  <si>
    <t>GA13</t>
  </si>
  <si>
    <t>GA14</t>
  </si>
  <si>
    <t>GA15</t>
  </si>
  <si>
    <t>GA16</t>
  </si>
  <si>
    <t>GN1</t>
  </si>
  <si>
    <t>GN2</t>
  </si>
  <si>
    <t>GN3</t>
  </si>
  <si>
    <t>GN4</t>
  </si>
  <si>
    <t>GN5</t>
  </si>
  <si>
    <t>GN6</t>
  </si>
  <si>
    <t>GD1</t>
  </si>
  <si>
    <t>GD2</t>
  </si>
  <si>
    <t>GD3</t>
  </si>
  <si>
    <t>GD4</t>
  </si>
  <si>
    <t>GD5</t>
  </si>
  <si>
    <t>GD6</t>
  </si>
  <si>
    <t>GB1</t>
  </si>
  <si>
    <t>GB2</t>
  </si>
  <si>
    <t>GB3</t>
  </si>
  <si>
    <t>GB4</t>
  </si>
  <si>
    <t>GB5</t>
  </si>
  <si>
    <t>GB6</t>
  </si>
  <si>
    <t>Condition</t>
  </si>
  <si>
    <t>Event Type</t>
  </si>
  <si>
    <t>Rate</t>
  </si>
  <si>
    <t>HOLD_REF_NAME</t>
  </si>
  <si>
    <t>HOLD_REF_PERIOD_OFFSET</t>
  </si>
  <si>
    <t>HOLD_REF_PERIOD_TYPE</t>
  </si>
  <si>
    <t>Hold Condition</t>
  </si>
  <si>
    <t>Description</t>
  </si>
  <si>
    <t>Return Type</t>
  </si>
  <si>
    <t>Dim Start Date</t>
  </si>
  <si>
    <t>Dim End Date</t>
  </si>
  <si>
    <t>Dim Name</t>
  </si>
  <si>
    <t>Case Sensitive</t>
  </si>
  <si>
    <t>Dim Type</t>
  </si>
  <si>
    <t>High</t>
  </si>
  <si>
    <t>Convert NULL</t>
  </si>
  <si>
    <t>Low</t>
  </si>
  <si>
    <t>RATE_EXP_UNIT_TYPE</t>
  </si>
  <si>
    <t>RETURN_TYPE</t>
  </si>
  <si>
    <t>SELECTOR_UNIT_TYPE</t>
  </si>
  <si>
    <t>Start Include</t>
  </si>
  <si>
    <t>Start Type</t>
  </si>
  <si>
    <t>End Include</t>
  </si>
  <si>
    <t>End Type</t>
  </si>
  <si>
    <t>Variable Type</t>
  </si>
  <si>
    <t>Default</t>
  </si>
  <si>
    <t>Formula</t>
  </si>
  <si>
    <t>Earning Group</t>
  </si>
  <si>
    <t>Earning Code</t>
  </si>
  <si>
    <t>&lt;path_to_xml_file&gt;</t>
  </si>
  <si>
    <t>XML</t>
  </si>
  <si>
    <t>Plans</t>
  </si>
  <si>
    <t>Components</t>
  </si>
  <si>
    <t>Creditrules</t>
  </si>
  <si>
    <t>Measurements</t>
  </si>
  <si>
    <t>Incentives</t>
  </si>
  <si>
    <t>Deposits</t>
  </si>
  <si>
    <t>Lookup Tables</t>
  </si>
  <si>
    <t>Rate Tables</t>
  </si>
  <si>
    <t>Fixed Values</t>
  </si>
  <si>
    <t>Variables</t>
  </si>
  <si>
    <t>Formulas</t>
  </si>
  <si>
    <t>Compensation Elements</t>
  </si>
  <si>
    <t>Plan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</si>
</sst>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0" xfId="0" applyFont="1" applyFill="1"/>
    <xf numFmtId="0" fontId="2" fillId="3" borderId="0" xfId="0" applyFont="1" applyFill="1"/>
    <xf numFmtId="0" fontId="5" fillId="0" borderId="0" xfId="0" applyFont="1"/>
    <xf numFmtId="14" fontId="5" fillId="0" borderId="0" xfId="0" applyNumberFormat="1" applyFont="1"/>
    <xf numFmtId="0" fontId="4" fillId="5" borderId="0" xfId="0" applyFont="1" applyFill="1"/>
    <xf numFmtId="14" fontId="4" fillId="5" borderId="0" xfId="0" applyNumberFormat="1" applyFont="1" applyFill="1"/>
    <xf numFmtId="0" fontId="4" fillId="8" borderId="0" xfId="0" applyFont="1" applyFill="1"/>
    <xf numFmtId="0" fontId="3" fillId="6" borderId="0" xfId="0" applyFont="1" applyFill="1"/>
    <xf numFmtId="14" fontId="3" fillId="6" borderId="0" xfId="0" applyNumberFormat="1" applyFont="1" applyFill="1"/>
    <xf numFmtId="0" fontId="5" fillId="7" borderId="0" xfId="0" applyFont="1" applyFill="1"/>
    <xf numFmtId="0" fontId="5" fillId="6" borderId="0" xfId="0" applyFont="1" applyFill="1"/>
    <xf numFmtId="14" fontId="5" fillId="6" borderId="0" xfId="0" applyNumberFormat="1" applyFont="1" applyFill="1"/>
    <xf numFmtId="0" fontId="5" fillId="3" borderId="0" xfId="0" applyFont="1" applyFill="1"/>
    <xf numFmtId="0" fontId="5" fillId="9" borderId="0" xfId="0" applyFont="1" applyFill="1"/>
    <xf numFmtId="0" fontId="5" fillId="4" borderId="0" xfId="0" applyFont="1" applyFill="1"/>
    <xf numFmtId="14" fontId="4" fillId="8" borderId="0" xfId="0" applyNumberFormat="1" applyFont="1" applyFill="1"/>
    <xf numFmtId="0" fontId="3" fillId="7" borderId="0" xfId="0" applyFont="1" applyFill="1"/>
    <xf numFmtId="14" fontId="3" fillId="7" borderId="0" xfId="0" applyNumberFormat="1" applyFont="1" applyFill="1"/>
    <xf numFmtId="14" fontId="5" fillId="7" borderId="0" xfId="0" applyNumberFormat="1" applyFont="1" applyFill="1"/>
    <xf numFmtId="0" fontId="5" fillId="7" borderId="0" xfId="0" applyFont="1" applyFill="1" applyAlignment="1">
      <alignment horizontal="left"/>
    </xf>
    <xf numFmtId="0" fontId="5" fillId="6" borderId="0" xfId="0" applyFont="1" applyFill="1" applyBorder="1"/>
    <xf numFmtId="14" fontId="5" fillId="6" borderId="0" xfId="0" applyNumberFormat="1" applyFont="1" applyFill="1" applyBorder="1"/>
    <xf numFmtId="0" fontId="5" fillId="7" borderId="0" xfId="0" applyFont="1" applyFill="1" applyBorder="1"/>
    <xf numFmtId="0" fontId="4" fillId="5" borderId="0" xfId="0" applyFont="1" applyFill="1" applyBorder="1"/>
    <xf numFmtId="14" fontId="4" fillId="5" borderId="0" xfId="0" applyNumberFormat="1" applyFont="1" applyFill="1" applyBorder="1"/>
    <xf numFmtId="0" fontId="7" fillId="8" borderId="0" xfId="0" applyFont="1" applyFill="1" applyBorder="1"/>
    <xf numFmtId="0" fontId="5" fillId="0" borderId="0" xfId="0" applyFont="1" applyBorder="1"/>
    <xf numFmtId="14" fontId="5" fillId="0" borderId="0" xfId="0" applyNumberFormat="1" applyFont="1" applyBorder="1"/>
    <xf numFmtId="9" fontId="5" fillId="9" borderId="0" xfId="0" applyNumberFormat="1" applyFont="1" applyFill="1"/>
    <xf numFmtId="0" fontId="0" fillId="10" borderId="0" xfId="0" applyFill="1"/>
    <xf numFmtId="0" fontId="8" fillId="10" borderId="0" xfId="1" applyFill="1"/>
    <xf numFmtId="0" fontId="1" fillId="2" borderId="0" xfId="0" applyFont="1" applyFill="1" applyAlignment="1"/>
  </cellXfs>
  <cellStyles count="2">
    <cellStyle name="Hyperlink" xfId="1" builtinId="8"/>
    <cellStyle name="Normal" xfId="0" builtinId="0"/>
  </cellStyles>
  <dxfs count="300"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color theme="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color theme="0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color theme="0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strike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indexed="64"/>
          <bgColor theme="0" tint="-0.49998474074526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color theme="0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color theme="0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color theme="0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indexed="64"/>
          <bgColor theme="3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137160</xdr:colOff>
          <xdr:row>3</xdr:row>
          <xdr:rowOff>38100</xdr:rowOff>
        </xdr:from>
        <xdr:to>
          <xdr:col>1</xdr:col>
          <xdr:colOff>586740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3</xdr:row>
          <xdr:rowOff>30480</xdr:rowOff>
        </xdr:from>
        <xdr:to>
          <xdr:col>3</xdr:col>
          <xdr:colOff>891540</xdr:colOff>
          <xdr:row>4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Plan to Excel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B36567-B2D8-433D-B34F-E96C5D005B2A}" name="PLANS" displayName="PLANS" ref="A1:H2" insertRow="1" totalsRowShown="0" headerRowDxfId="299" dataDxfId="298">
  <autoFilter ref="A1:H2" xr:uid="{DF498015-93A2-45EA-8FFD-8A452845FCD3}"/>
  <tableColumns count="8">
    <tableColumn id="1" xr3:uid="{45359A85-371C-4C87-B9AA-84D93969B5C2}" name="Calendar" dataDxfId="297"/>
    <tableColumn id="2" xr3:uid="{DC6AC298-96FB-49D0-974D-94EEAC7DCDDE}" name="Name" dataDxfId="296"/>
    <tableColumn id="8" xr3:uid="{EC0C87FC-24D5-402E-A7A9-302E28AB20CB}" name="Description" dataDxfId="295"/>
    <tableColumn id="3" xr3:uid="{A10822B1-A5DC-4B1D-84F2-E24AA4FDC536}" name="Start Date" dataDxfId="294"/>
    <tableColumn id="4" xr3:uid="{0AAE8B4E-E953-46F9-94E8-47BAEF978A5D}" name="End Date" dataDxfId="293"/>
    <tableColumn id="5" xr3:uid="{A83FD481-B83A-46A8-8BF6-C4BD9902C46C}" name="Component" dataDxfId="292"/>
    <tableColumn id="6" xr3:uid="{78707262-72AA-41C0-AD6B-177C43694A17}" name="Component Start" dataDxfId="291"/>
    <tableColumn id="7" xr3:uid="{8485725D-E017-4839-8F57-CEF25F5139C7}" name="Component End" dataDxfId="290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D3C7161-044F-47B5-8D28-448B8B35E280}" name="COMPONENTS" displayName="COMPONENTS" ref="A1:I2" insertRow="1" totalsRowShown="0" headerRowDxfId="289" dataDxfId="288">
  <autoFilter ref="A1:I2" xr:uid="{0E6C0F77-6DB4-435E-B7BC-8B549A87F426}"/>
  <tableColumns count="9">
    <tableColumn id="1" xr3:uid="{9BFE147E-5FB7-4D31-9482-FB6A9CFEE0F9}" name="Calendar" dataDxfId="287"/>
    <tableColumn id="2" xr3:uid="{495EE028-5870-41CD-A1E4-420199B8B377}" name="Name" dataDxfId="286"/>
    <tableColumn id="6" xr3:uid="{5B1A63D2-F7DF-46B7-B383-2177912E5A97}" name="Description" dataDxfId="285"/>
    <tableColumn id="3" xr3:uid="{1EDD9F61-9E98-4EF7-9818-25983B39E821}" name="Start Date" dataDxfId="284"/>
    <tableColumn id="4" xr3:uid="{7BE0AAF9-1190-4E3D-9C00-13CEC5843EB0}" name="End Date" dataDxfId="283"/>
    <tableColumn id="5" xr3:uid="{1785C2B2-D675-428C-89EE-2B29E0EBFEAC}" name="Rule" dataDxfId="282"/>
    <tableColumn id="23" xr3:uid="{894D0655-3AD3-4DD7-954A-E370C92A85C2}" name="Rule Type" dataDxfId="281"/>
    <tableColumn id="24" xr3:uid="{95DD64EA-A304-4AC7-A11C-2C4EDFEA76BA}" name="Rule Start" dataDxfId="280"/>
    <tableColumn id="25" xr3:uid="{B945BA8A-8560-4683-9A50-EE43CAA67AF0}" name="Rule End" dataDxfId="27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354852A-FF3A-4484-A311-17F562B5D455}" name="CREDITRULES" displayName="CREDITRULES" ref="A1:BD2" insertRow="1" totalsRowShown="0" headerRowDxfId="278" dataDxfId="277">
  <autoFilter ref="A1:BD2" xr:uid="{F7C3DFED-F8C5-41E2-AEBB-825D673F0C75}"/>
  <tableColumns count="56">
    <tableColumn id="1" xr3:uid="{6C26893B-AA5B-4563-80BC-A95E866EFF35}" name="Calendar" dataDxfId="276"/>
    <tableColumn id="2" xr3:uid="{8CFF530F-3304-472B-9F6B-DA794DFC72DF}" name="Name" dataDxfId="275"/>
    <tableColumn id="53" xr3:uid="{5CD5C323-AFCD-4FD2-AF54-4ACDA0AEB50A}" name="Description" dataDxfId="274"/>
    <tableColumn id="3" xr3:uid="{7F8CA895-60E7-46FC-B44D-B1E96D3A11A5}" name="Start Date" dataDxfId="273"/>
    <tableColumn id="4" xr3:uid="{7258778D-01E2-44B5-8733-2D6296588B4B}" name="End Date" dataDxfId="272"/>
    <tableColumn id="72" xr3:uid="{6848DB18-4648-4668-80D9-2E384DFB1FD2}" name="Condition" dataDxfId="271"/>
    <tableColumn id="73" xr3:uid="{F4CDEE7C-4111-4216-A95E-CB603AB68FD2}" name="Event Type" dataDxfId="270"/>
    <tableColumn id="74" xr3:uid="{607F4ADD-2C43-4ABA-8F8F-4EBC34E74C0A}" name="Rule Type" dataDxfId="269"/>
    <tableColumn id="5" xr3:uid="{04BC1C73-7EAF-4BFB-9067-E954AC82E38E}" name="Output Name" dataDxfId="268"/>
    <tableColumn id="6" xr3:uid="{090ABEB0-36BA-44C0-AEE3-219C56D4E22E}" name="Display Name" dataDxfId="267"/>
    <tableColumn id="7" xr3:uid="{DF773851-57A7-4C92-8A75-B210612D4638}" name="Reportable" dataDxfId="266"/>
    <tableColumn id="8" xr3:uid="{CFF41681-F606-49AD-9B7E-79CB00C11CDD}" name="Period Type" dataDxfId="265"/>
    <tableColumn id="9" xr3:uid="{41600742-7354-43F6-849C-B28A871E5A05}" name="Type" dataDxfId="264"/>
    <tableColumn id="10" xr3:uid="{AB19B3A3-A4BF-4F15-8F6E-C26323C06239}" name="Unit Type" dataDxfId="263"/>
    <tableColumn id="11" xr3:uid="{7AACE12D-220A-47CB-BC5A-7884376D1D51}" name="Value" dataDxfId="262"/>
    <tableColumn id="12" xr3:uid="{FF8C955E-DB00-433E-B97E-C273C6997BB0}" name="Hold" dataDxfId="261"/>
    <tableColumn id="13" xr3:uid="{F61E5679-4521-4D1A-8A46-83EF6F2F08E5}" name="Release" dataDxfId="260"/>
    <tableColumn id="14" xr3:uid="{B54D3A0C-0480-4DC9-8B1E-64DAA07FB372}" name="Conditions" dataDxfId="259"/>
    <tableColumn id="15" xr3:uid="{685AB5E1-4F50-4463-9845-0EA6AC0CC676}" name="Credit Type" dataDxfId="258"/>
    <tableColumn id="16" xr3:uid="{77BC8636-8532-4018-8329-069A8ED93CC3}" name="Duplicate" dataDxfId="257"/>
    <tableColumn id="17" xr3:uid="{0A0C591E-2CDA-4C67-A880-5C2CA063E146}" name="Roll Up" dataDxfId="256"/>
    <tableColumn id="18" xr3:uid="{52F1C768-1257-4FD7-A885-246F0604CCBF}" name="Roll Date" dataDxfId="255"/>
    <tableColumn id="19" xr3:uid="{9DB91BEA-8F5D-45E8-9109-003D80FEF843}" name="GA1" dataDxfId="254"/>
    <tableColumn id="20" xr3:uid="{989D9EB9-8C91-4386-86A3-066AB29868E8}" name="GA2" dataDxfId="253"/>
    <tableColumn id="21" xr3:uid="{D0C4C5BC-6929-4A92-A187-6B2AF551ACD1}" name="GA3" dataDxfId="252"/>
    <tableColumn id="22" xr3:uid="{F6D015C1-5EFD-4216-B33D-115F8C4355A9}" name="GA4" dataDxfId="251"/>
    <tableColumn id="23" xr3:uid="{5128AD84-FB35-4569-BF73-4845B644806D}" name="GA5" dataDxfId="250"/>
    <tableColumn id="24" xr3:uid="{BFD607BE-F866-4720-9891-476A793137E8}" name="GA6" dataDxfId="249"/>
    <tableColumn id="25" xr3:uid="{071D0D6C-869E-4526-AF69-4B7A6ED4EF4A}" name="GA7" dataDxfId="248"/>
    <tableColumn id="26" xr3:uid="{8779179E-0F5F-41E6-A085-A910610CE17E}" name="GA8" dataDxfId="247"/>
    <tableColumn id="27" xr3:uid="{2C472B26-7F6C-4397-819C-F464B67C4C2C}" name="GA9" dataDxfId="246"/>
    <tableColumn id="28" xr3:uid="{BB15CD08-BE77-405A-8551-9F30CA6CD075}" name="GA10" dataDxfId="245"/>
    <tableColumn id="29" xr3:uid="{DA44A72A-B7ED-429E-8806-FC4BEFEBCF62}" name="GA11" dataDxfId="244"/>
    <tableColumn id="30" xr3:uid="{A1060FD3-A060-4097-B6B0-FEC181B03061}" name="GA12" dataDxfId="243"/>
    <tableColumn id="31" xr3:uid="{100DDE15-E3D3-4BFA-A82D-F2195CECE2CC}" name="GA13" dataDxfId="242"/>
    <tableColumn id="32" xr3:uid="{9A2BFBE4-3E23-4BEC-B2A0-90F097109BC7}" name="GA14" dataDxfId="241"/>
    <tableColumn id="33" xr3:uid="{7CEB691A-D07C-4103-A5EA-A8DFFA2C6178}" name="GA15" dataDxfId="240"/>
    <tableColumn id="34" xr3:uid="{F68A6A1C-4AF6-4891-8BA7-7AA9FE0D2F1F}" name="GA16" dataDxfId="239"/>
    <tableColumn id="35" xr3:uid="{591CBD5C-DBFA-4360-9B11-D38D818EECF3}" name="GN1" dataDxfId="238"/>
    <tableColumn id="36" xr3:uid="{194E60E0-10CB-4E0E-9496-71748D102FE7}" name="GN2" dataDxfId="237"/>
    <tableColumn id="37" xr3:uid="{F188B54C-FA38-4003-90DE-57E55070B81D}" name="GN3" dataDxfId="236"/>
    <tableColumn id="38" xr3:uid="{F690DB67-5B88-4A26-A32F-2E8438DE0B69}" name="GN4" dataDxfId="235"/>
    <tableColumn id="39" xr3:uid="{B0B4C174-4E8B-4E75-BD64-8E94AB3100D4}" name="GN5" dataDxfId="234"/>
    <tableColumn id="40" xr3:uid="{17628C1A-F4AB-4341-B064-5B95C671ACFA}" name="GN6" dataDxfId="233"/>
    <tableColumn id="41" xr3:uid="{27A9E796-889A-43B3-8989-D693F7FDC6BD}" name="GD1" dataDxfId="232"/>
    <tableColumn id="42" xr3:uid="{0F2B3A19-E09C-431F-A4CF-EFBC8CE9CD38}" name="GD2" dataDxfId="231"/>
    <tableColumn id="43" xr3:uid="{54720129-15D2-4DDE-91F0-8EE5882C42FA}" name="GD3" dataDxfId="230"/>
    <tableColumn id="44" xr3:uid="{17D2CB92-0FE1-4A9E-8F5C-9FEA885B57DD}" name="GD4" dataDxfId="229"/>
    <tableColumn id="45" xr3:uid="{23D782C9-1BB1-4D82-AF0A-3CCE8C9CAAB0}" name="GD5" dataDxfId="228"/>
    <tableColumn id="46" xr3:uid="{94A89EC0-838F-425F-965C-0CCFB514A289}" name="GD6" dataDxfId="227"/>
    <tableColumn id="47" xr3:uid="{3DD3CD8F-6019-4863-B639-9F4F680102DB}" name="GB1" dataDxfId="226"/>
    <tableColumn id="48" xr3:uid="{FB9ACBB6-1A51-4DFE-9F85-1B7FE872C4B1}" name="GB2" dataDxfId="225"/>
    <tableColumn id="49" xr3:uid="{3D6B8DB3-F7B1-45F7-8ACB-D418CF7F3708}" name="GB3" dataDxfId="224"/>
    <tableColumn id="50" xr3:uid="{55CCA2F0-E2A8-4004-A4CD-E8D0940D4F5C}" name="GB4" dataDxfId="223"/>
    <tableColumn id="51" xr3:uid="{44D1E5BB-5F55-4B35-8AE0-294553BC2268}" name="GB5" dataDxfId="222"/>
    <tableColumn id="52" xr3:uid="{FB9AED42-DA21-4D54-84D3-2E0D3F6EF4D2}" name="GB6" dataDxfId="22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1D3D782-72B5-4ABA-AE84-B620C5AAD5E6}" name="MEASUREMENTS" displayName="MEASUREMENTS" ref="A1:AV2" insertRow="1" totalsRowShown="0" headerRowDxfId="220" dataDxfId="219">
  <autoFilter ref="A1:AV2" xr:uid="{AFF3DDE5-288C-4D7A-96A5-F6C84D4779A9}"/>
  <tableColumns count="48">
    <tableColumn id="1" xr3:uid="{AFA01422-A443-45F5-8330-CF0FF05F5BDC}" name="Calendar" dataDxfId="218"/>
    <tableColumn id="2" xr3:uid="{65A45602-FA78-4727-8B52-0F1B2E558AC4}" name="Name" dataDxfId="217"/>
    <tableColumn id="14" xr3:uid="{907E5447-BFED-4DEB-9E9D-7C56141C49A2}" name="Description" dataDxfId="216"/>
    <tableColumn id="3" xr3:uid="{F7771C14-2EC1-4D00-97DC-F49EB797E5EF}" name="Start Date" dataDxfId="215"/>
    <tableColumn id="4" xr3:uid="{8E480758-C514-429E-A644-49FDE4A93DA6}" name="End Date" dataDxfId="214"/>
    <tableColumn id="5" xr3:uid="{B202CCC5-0ECB-4511-B601-ADF5DAE660D0}" name="Condition" dataDxfId="213"/>
    <tableColumn id="6" xr3:uid="{FB355C10-55D8-4190-A1B5-85B59198788C}" name="Rule Type" dataDxfId="212"/>
    <tableColumn id="7" xr3:uid="{71673213-0FC4-40BA-B283-71CA351E9FCE}" name="Output Name" dataDxfId="211"/>
    <tableColumn id="8" xr3:uid="{4B882832-BF3C-4836-A4FE-70C323D4D2C7}" name="Display Name" dataDxfId="210"/>
    <tableColumn id="9" xr3:uid="{FDD86BB0-7E48-476F-8B74-688FD5B4F8EC}" name="Reportable" dataDxfId="209"/>
    <tableColumn id="10" xr3:uid="{BE92E515-EAAB-41C7-84C3-0868AE96FF36}" name="Period Type" dataDxfId="208"/>
    <tableColumn id="11" xr3:uid="{232D16A2-9E40-408E-8635-D22C91F1DE99}" name="Type" dataDxfId="207"/>
    <tableColumn id="12" xr3:uid="{A9F4F8F3-55E7-42ED-9BC6-73A8C737EB91}" name="Unit Type" dataDxfId="206"/>
    <tableColumn id="13" xr3:uid="{E804C03A-B90A-4CBC-8FF4-8C99B3EB89A6}" name="Value" dataDxfId="205"/>
    <tableColumn id="21" xr3:uid="{83647C3F-23A0-49F3-A8F2-12D1B8220E78}" name="GA1" dataDxfId="204"/>
    <tableColumn id="22" xr3:uid="{E3EB56D3-2718-4073-81D5-EFB5C255C01B}" name="GA2" dataDxfId="203"/>
    <tableColumn id="23" xr3:uid="{4385912A-8A6F-4A17-A130-57063AB0E3FC}" name="GA3" dataDxfId="202"/>
    <tableColumn id="24" xr3:uid="{C48B7070-FCE0-4694-AE70-1AEEEADB4C3A}" name="GA4" dataDxfId="201"/>
    <tableColumn id="25" xr3:uid="{460DB124-3BF0-41E8-97B4-6C82137B8B87}" name="GA5" dataDxfId="200"/>
    <tableColumn id="26" xr3:uid="{B55778D8-41FC-49A3-BD10-764CB09316AC}" name="GA6" dataDxfId="199"/>
    <tableColumn id="27" xr3:uid="{10CE64BC-D220-4792-8877-75E17D84DF38}" name="GA7" dataDxfId="198"/>
    <tableColumn id="28" xr3:uid="{F3927410-27F1-4988-A4D7-0295D0CE2369}" name="GA8" dataDxfId="197"/>
    <tableColumn id="29" xr3:uid="{9C6351EF-2111-493E-93FE-249CB946697F}" name="GA9" dataDxfId="196"/>
    <tableColumn id="30" xr3:uid="{DB7BED9D-D5D4-4526-9901-DC488A97AAA2}" name="GA10" dataDxfId="195"/>
    <tableColumn id="31" xr3:uid="{E9481922-DAA2-4063-AC68-7A9CA173C3C8}" name="GA11" dataDxfId="194"/>
    <tableColumn id="32" xr3:uid="{B62B4426-7FE5-4658-94D5-4E8898427A3A}" name="GA12" dataDxfId="193"/>
    <tableColumn id="33" xr3:uid="{355E2E93-AC42-49C4-95E8-39C7BE38A8A1}" name="GA13" dataDxfId="192"/>
    <tableColumn id="34" xr3:uid="{55052385-4FAA-493F-9433-B64F79A4FDEB}" name="GA14" dataDxfId="191"/>
    <tableColumn id="35" xr3:uid="{3F777741-FCDB-4282-9DA5-435657E24FAA}" name="GA15" dataDxfId="190"/>
    <tableColumn id="36" xr3:uid="{74DD1D76-B870-4BED-9B29-47A560A10499}" name="GA16" dataDxfId="189"/>
    <tableColumn id="37" xr3:uid="{3DF2383B-393B-47D0-A427-3C45B2819E75}" name="GN1" dataDxfId="188"/>
    <tableColumn id="38" xr3:uid="{766D5A8B-6824-4833-981B-536698B84704}" name="GN2" dataDxfId="187"/>
    <tableColumn id="39" xr3:uid="{BE7672D1-785C-4948-A0CD-5F2FBD7B6F04}" name="GN3" dataDxfId="186"/>
    <tableColumn id="40" xr3:uid="{C72C001E-6AEB-45E2-A055-E8066351DD1D}" name="GN4" dataDxfId="185"/>
    <tableColumn id="41" xr3:uid="{6A022FEC-6108-4FF7-A574-F10199EEE809}" name="GN5" dataDxfId="184"/>
    <tableColumn id="42" xr3:uid="{DA089BBA-5706-4A1B-9513-0BAE7BD81B62}" name="GN6" dataDxfId="183"/>
    <tableColumn id="43" xr3:uid="{781152FF-1502-4FF0-9C86-F0C180F872FA}" name="GD1" dataDxfId="182"/>
    <tableColumn id="44" xr3:uid="{71FAF4FE-C867-4D51-8298-8BBFE386FD58}" name="GD2" dataDxfId="181"/>
    <tableColumn id="45" xr3:uid="{B0CD0FA9-7DEF-451A-94F9-6E7765F79F9B}" name="GD3" dataDxfId="180"/>
    <tableColumn id="46" xr3:uid="{2EA76008-542E-4C5F-85B6-03628842D6A8}" name="GD4" dataDxfId="179"/>
    <tableColumn id="47" xr3:uid="{030B0E89-4CE5-4B20-BD7D-7F9ABF5E4C06}" name="GD5" dataDxfId="178"/>
    <tableColumn id="48" xr3:uid="{E0E61091-6D8E-4877-BAFA-DAB828933A25}" name="GD6" dataDxfId="177"/>
    <tableColumn id="49" xr3:uid="{A60BE568-DB14-4C0F-84CB-744B86649469}" name="GB1" dataDxfId="176"/>
    <tableColumn id="50" xr3:uid="{E2B4CCA6-9A25-4712-BF52-F8722661A3C2}" name="GB2" dataDxfId="175"/>
    <tableColumn id="51" xr3:uid="{09ECDC51-31E4-40F5-BB41-7D1D8AE676DE}" name="GB3" dataDxfId="174"/>
    <tableColumn id="52" xr3:uid="{EB305442-6825-45F4-B239-7BE987F1C0FF}" name="GB4" dataDxfId="173"/>
    <tableColumn id="53" xr3:uid="{BCB6B8D6-CB9A-40AF-A306-49EEB050B4EE}" name="GB5" dataDxfId="172"/>
    <tableColumn id="54" xr3:uid="{48A2885C-4FFE-49CC-9FC8-517149F8EC40}" name="GB6" dataDxfId="171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B80FE4-02D8-4E3D-8E05-967FE9D2F8B6}" name="INCENTIVES" displayName="INCENTIVES" ref="A1:AZ2" insertRow="1" totalsRowShown="0" headerRowDxfId="170" dataDxfId="169">
  <autoFilter ref="A1:AZ2" xr:uid="{9EFCBD27-F306-418E-B950-EE2AA409CCB0}"/>
  <tableColumns count="52">
    <tableColumn id="1" xr3:uid="{7B43A9E2-2499-4A7B-89BC-2C3EDAC9093C}" name="Calendar" dataDxfId="168"/>
    <tableColumn id="2" xr3:uid="{8F7FF61D-89D6-4FBC-89FE-E61AB3A8BBAB}" name="Name" dataDxfId="167"/>
    <tableColumn id="52" xr3:uid="{9AD77E9F-C314-4123-BCB5-4A3630C9C03C}" name="Description" dataDxfId="166"/>
    <tableColumn id="3" xr3:uid="{AEE06029-FBDD-49A6-9AB7-7DD3D579A777}" name="Start Date" dataDxfId="165"/>
    <tableColumn id="4" xr3:uid="{5CD197AD-ECD4-4529-B3C5-8586DDD78E5F}" name="End Date" dataDxfId="164"/>
    <tableColumn id="5" xr3:uid="{16388158-6451-4A17-A517-3D9D388315B7}" name="Condition" dataDxfId="163"/>
    <tableColumn id="6" xr3:uid="{E2C3798C-215C-4E37-B2BE-30492E586574}" name="Rule Type" dataDxfId="162"/>
    <tableColumn id="7" xr3:uid="{3398DA87-67E6-4339-91C2-AB169A07D76F}" name="Output Name" dataDxfId="161"/>
    <tableColumn id="8" xr3:uid="{6D3D041D-8490-47C1-B2A8-5F9AB31A0628}" name="Display Name" dataDxfId="160"/>
    <tableColumn id="9" xr3:uid="{F6B5D1FC-4F9B-4D03-8ABF-1E42731E2D3F}" name="Reportable" dataDxfId="159"/>
    <tableColumn id="10" xr3:uid="{AA564601-FAF8-4CF5-A938-0C1966CEF904}" name="Period Type" dataDxfId="158"/>
    <tableColumn id="11" xr3:uid="{CFA53668-3CFF-4DCB-BAC9-2FEAF92F26F3}" name="Type" dataDxfId="157"/>
    <tableColumn id="12" xr3:uid="{905D2485-BF64-4F33-92C1-D2C3C06135E1}" name="Unit Type" dataDxfId="156"/>
    <tableColumn id="13" xr3:uid="{438EA15E-0DE0-4E95-BF74-E2CCE0C4D858}" name="Value" dataDxfId="155"/>
    <tableColumn id="14" xr3:uid="{3FEB9BEF-B034-47D9-A359-BE5AA5BA1C61}" name="Rate" dataDxfId="154"/>
    <tableColumn id="15" xr3:uid="{A0DA3EFB-50F5-49CE-8B3C-8BF1D3B24AB8}" name="HOLD_REF_NAME" dataDxfId="153"/>
    <tableColumn id="16" xr3:uid="{4A6250B1-7DFC-41EC-8EF7-1AF21DDD6378}" name="HOLD_REF_PERIOD_OFFSET" dataDxfId="152"/>
    <tableColumn id="17" xr3:uid="{58D6D428-B64F-48AE-996D-C65BA4DCD6AB}" name="HOLD_REF_PERIOD_TYPE" dataDxfId="151"/>
    <tableColumn id="18" xr3:uid="{0C07CEDA-CD6A-4193-8A97-F6E89D078F20}" name="GA1" dataDxfId="150"/>
    <tableColumn id="19" xr3:uid="{AFA12AD0-65F4-40D4-9BFB-A33E69668B93}" name="GA2" dataDxfId="149"/>
    <tableColumn id="20" xr3:uid="{0B1C012E-B857-474C-A757-B7C11A5AD393}" name="GA3" dataDxfId="148"/>
    <tableColumn id="21" xr3:uid="{11C8A731-CE48-4AAC-B15F-BF443BFC2F2A}" name="GA4" dataDxfId="147"/>
    <tableColumn id="22" xr3:uid="{454D4FE7-253A-409A-BE65-D18F412ED788}" name="GA5" dataDxfId="146"/>
    <tableColumn id="23" xr3:uid="{DB26B5A6-E7C6-48A5-A9F4-898C8FE3889A}" name="GA6" dataDxfId="145"/>
    <tableColumn id="24" xr3:uid="{3A0114C6-97E2-4081-93F4-D0C5F61CC6A0}" name="GA7" dataDxfId="144"/>
    <tableColumn id="25" xr3:uid="{CAE92B82-B155-453D-8118-5EDE1C611334}" name="GA8" dataDxfId="143"/>
    <tableColumn id="26" xr3:uid="{7B6BFB84-6E23-4A15-8A27-02B7DFFECDAE}" name="GA9" dataDxfId="142"/>
    <tableColumn id="27" xr3:uid="{7C5DBA32-BCB0-43F6-8EB6-EC57CB08AF89}" name="GA10" dataDxfId="141"/>
    <tableColumn id="28" xr3:uid="{E11E984B-1F55-4FE7-9CE2-89E4DCBFD60E}" name="GA11" dataDxfId="140"/>
    <tableColumn id="29" xr3:uid="{DF4AE1EB-764D-4022-BDAE-0B14FA8079BB}" name="GA12" dataDxfId="139"/>
    <tableColumn id="30" xr3:uid="{7AD7CE76-70A6-4C09-A6CB-D76EE7F686BF}" name="GA13" dataDxfId="138"/>
    <tableColumn id="31" xr3:uid="{847DDE15-B487-4DA3-8641-9BD7082AFF26}" name="GA14" dataDxfId="137"/>
    <tableColumn id="32" xr3:uid="{7D7C652D-C0B9-4ADA-8D2B-85F2879BFCE9}" name="GA15" dataDxfId="136"/>
    <tableColumn id="33" xr3:uid="{0CC3F78D-B3F5-4A28-A1CB-E875612F5514}" name="GA16" dataDxfId="135"/>
    <tableColumn id="34" xr3:uid="{D5BE2F9F-46A6-4653-9761-9E6A92385D7F}" name="GN1" dataDxfId="134"/>
    <tableColumn id="35" xr3:uid="{2E13BE7F-5FD3-4C39-AAB2-053DAEE5E1E6}" name="GN2" dataDxfId="133"/>
    <tableColumn id="36" xr3:uid="{67006D80-A2B0-4A08-87FA-4FD3FFA77594}" name="GN3" dataDxfId="132"/>
    <tableColumn id="37" xr3:uid="{38D952F2-3CFD-480A-B693-55A1513584B8}" name="GN4" dataDxfId="131"/>
    <tableColumn id="38" xr3:uid="{AD7528BE-8C78-4640-9D7E-64AAA44F2CAD}" name="GN5" dataDxfId="130"/>
    <tableColumn id="39" xr3:uid="{7F67C25C-AF2E-497C-82B5-540E450DA10E}" name="GN6" dataDxfId="129"/>
    <tableColumn id="40" xr3:uid="{E126EC62-785D-458A-9728-7BBFA585FAF6}" name="GD1" dataDxfId="128"/>
    <tableColumn id="41" xr3:uid="{4209622D-B4C2-4B6C-9BB4-9DD5174F7731}" name="GD2" dataDxfId="127"/>
    <tableColumn id="42" xr3:uid="{9C3193DB-227F-4E4D-96FC-0786B10126AA}" name="GD3" dataDxfId="126"/>
    <tableColumn id="43" xr3:uid="{DDD468D5-9608-424B-827F-62DCE2B113B7}" name="GD4" dataDxfId="125"/>
    <tableColumn id="44" xr3:uid="{F6A2F39E-9545-4800-ADCF-577895298589}" name="GD5" dataDxfId="124"/>
    <tableColumn id="45" xr3:uid="{23875469-C921-439D-88AE-4FBE94E44904}" name="GD6" dataDxfId="123"/>
    <tableColumn id="46" xr3:uid="{9FA2922C-0D85-4D25-8322-D241B911E044}" name="GB1" dataDxfId="122"/>
    <tableColumn id="47" xr3:uid="{5D098DD2-B327-4C63-9FD0-4E7446D5CA75}" name="GB2" dataDxfId="121"/>
    <tableColumn id="48" xr3:uid="{54C72902-6F71-460B-AB91-A85721CC5E30}" name="GB3" dataDxfId="120"/>
    <tableColumn id="49" xr3:uid="{EFE444D1-32AE-40EF-A4C0-BEBF6BAD2630}" name="GB4" dataDxfId="119"/>
    <tableColumn id="50" xr3:uid="{C21864FB-4D05-40D5-9C60-8C5531CF24FF}" name="GB5" dataDxfId="118"/>
    <tableColumn id="51" xr3:uid="{4CD701BB-9914-450E-8099-361D4D5CED03}" name="GB6" dataDxfId="117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11EE45-F8AE-4F57-A587-F43A8A2BCD27}" name="DEPOSITS" displayName="DEPOSITS" ref="A1:AZ2" insertRow="1" totalsRowShown="0" headerRowDxfId="116" dataDxfId="115">
  <autoFilter ref="A1:AZ2" xr:uid="{09BBAC49-1FFF-438F-845B-550E840C2F43}"/>
  <tableColumns count="52">
    <tableColumn id="1" xr3:uid="{5E7D3B24-3A0F-4C0C-9E38-159DF5A63D53}" name="Calendar" dataDxfId="114"/>
    <tableColumn id="2" xr3:uid="{3D2E8508-FABE-47C6-91E2-BE1CD9C91A1A}" name="Name" dataDxfId="113"/>
    <tableColumn id="52" xr3:uid="{423266FA-3684-44FE-8CCC-F9533CA3429B}" name="Description" dataDxfId="112"/>
    <tableColumn id="3" xr3:uid="{8532176B-9877-45F1-A712-97F7CDDEEAEC}" name="Start Date" dataDxfId="111"/>
    <tableColumn id="4" xr3:uid="{61CB3BAB-11C3-4D40-A11A-BF8703F68B6E}" name="End Date" dataDxfId="110"/>
    <tableColumn id="5" xr3:uid="{4B258681-5A6E-4414-B381-B6DC3D344A62}" name="Condition" dataDxfId="109"/>
    <tableColumn id="6" xr3:uid="{238CD4E2-6310-4AD6-8AB6-98968EBD0265}" name="Rule Type" dataDxfId="108"/>
    <tableColumn id="7" xr3:uid="{67A39407-00C3-426F-909F-3AEDE553EA03}" name="Output Name" dataDxfId="107"/>
    <tableColumn id="8" xr3:uid="{867B357D-9337-4225-B7CE-EDB0CDF6BB65}" name="Display Name" dataDxfId="106"/>
    <tableColumn id="9" xr3:uid="{7F9B56EA-0CA7-4BFA-833E-CB4B4A27EB8C}" name="Reportable" dataDxfId="105"/>
    <tableColumn id="10" xr3:uid="{B3536277-803F-45EB-B0BD-80E1D1550138}" name="Period Type" dataDxfId="104"/>
    <tableColumn id="11" xr3:uid="{3D03035C-5126-41EF-B2AF-16D6D73E83E6}" name="Type" dataDxfId="103"/>
    <tableColumn id="12" xr3:uid="{B46C32BE-A97C-46C1-B0D8-1E8D09E0A2B1}" name="Unit Type" dataDxfId="102"/>
    <tableColumn id="13" xr3:uid="{8BEACCD4-0C15-4AC1-AF37-458D7D4CDEAA}" name="Value" dataDxfId="101"/>
    <tableColumn id="14" xr3:uid="{E14719A7-2D3E-4674-BC63-FD73B758257B}" name="Hold" dataDxfId="100"/>
    <tableColumn id="15" xr3:uid="{E0CB91BF-0697-420D-B3EF-1193C9FAE780}" name="Hold Condition" dataDxfId="99"/>
    <tableColumn id="51" xr3:uid="{AA7AE731-384B-41C6-8EA8-8DBFF9D3A694}" name="Earning Group" dataDxfId="98"/>
    <tableColumn id="50" xr3:uid="{8057F8EE-5DD1-4BB1-A722-EEE4BD946EDF}" name="Earning Code" dataDxfId="97"/>
    <tableColumn id="16" xr3:uid="{9B6C8F8C-F7BC-44DA-ADA5-1DFF675BBE38}" name="GA1" dataDxfId="96"/>
    <tableColumn id="17" xr3:uid="{A92B21EB-3CA7-4CA6-B29D-D5EDB960A19D}" name="GA2" dataDxfId="95"/>
    <tableColumn id="18" xr3:uid="{C7685997-9456-48F6-A6A4-E09192C92387}" name="GA3" dataDxfId="94"/>
    <tableColumn id="19" xr3:uid="{F60575E8-05DC-48F5-821F-2772D165EF0F}" name="GA4" dataDxfId="93"/>
    <tableColumn id="20" xr3:uid="{07F977AB-AFF5-4D45-9AA5-7A45FD0491B6}" name="GA5" dataDxfId="92"/>
    <tableColumn id="21" xr3:uid="{73E062D1-38ED-484D-AB0B-9399BEE91F3C}" name="GA6" dataDxfId="91"/>
    <tableColumn id="22" xr3:uid="{13786C3D-CFED-48A6-B892-2F912D2C23F7}" name="GA7" dataDxfId="90"/>
    <tableColumn id="23" xr3:uid="{3CB5AD54-BAD7-48BB-938A-05AEFD52C2EB}" name="GA8" dataDxfId="89"/>
    <tableColumn id="24" xr3:uid="{6C551B49-4E98-4F24-95BB-B1BA87F7FBC0}" name="GA9" dataDxfId="88"/>
    <tableColumn id="25" xr3:uid="{8126D2A8-59A5-4B03-B95B-525BC63DFBEA}" name="GA10" dataDxfId="87"/>
    <tableColumn id="26" xr3:uid="{7A700C90-928C-48BB-BE03-9F95691C1E64}" name="GA11" dataDxfId="86"/>
    <tableColumn id="27" xr3:uid="{81372E2F-323D-42BF-8D7E-9BF62A50EA7C}" name="GA12" dataDxfId="85"/>
    <tableColumn id="28" xr3:uid="{0784663C-96EB-4C37-9992-7A548CDD380F}" name="GA13" dataDxfId="84"/>
    <tableColumn id="29" xr3:uid="{26F48619-F566-43DA-9ED5-06DD8AAFA056}" name="GA14" dataDxfId="83"/>
    <tableColumn id="30" xr3:uid="{6FF47EE0-7A4A-4689-93C4-FE1E247FA71A}" name="GA15" dataDxfId="82"/>
    <tableColumn id="31" xr3:uid="{F60B5D12-3FA4-4416-B2CB-118FACEB470E}" name="GA16" dataDxfId="81"/>
    <tableColumn id="32" xr3:uid="{08CB3F38-836A-4348-8546-7C94E019D894}" name="GN1" dataDxfId="80"/>
    <tableColumn id="33" xr3:uid="{000B7A38-8333-411E-BE37-67797102EF2A}" name="GN2" dataDxfId="79"/>
    <tableColumn id="34" xr3:uid="{6096F382-8355-4741-B97F-F350637A80DE}" name="GN3" dataDxfId="78"/>
    <tableColumn id="35" xr3:uid="{21300C77-7C46-4364-AEAC-03A6093524D8}" name="GN4" dataDxfId="77"/>
    <tableColumn id="36" xr3:uid="{B7AF552C-00AA-4B56-9B25-900EF242913E}" name="GN5" dataDxfId="76"/>
    <tableColumn id="37" xr3:uid="{F24BCE22-86A0-43DF-9C09-277C5D671FD1}" name="GN6" dataDxfId="75"/>
    <tableColumn id="38" xr3:uid="{838C6A00-1BDF-486D-BEB7-BB9BE82C5F8B}" name="GD1" dataDxfId="74"/>
    <tableColumn id="39" xr3:uid="{28F8C609-7171-4B46-AE3E-2FC2C252B6F7}" name="GD2" dataDxfId="73"/>
    <tableColumn id="40" xr3:uid="{6D1FD265-2789-4AA4-86C3-DA107E08F337}" name="GD3" dataDxfId="72"/>
    <tableColumn id="41" xr3:uid="{38F81AB3-8AC4-4CC2-BC13-04CF4C819C9F}" name="GD4" dataDxfId="71"/>
    <tableColumn id="42" xr3:uid="{799EE284-AFD5-4787-A610-A745CFDD81BF}" name="GD5" dataDxfId="70"/>
    <tableColumn id="43" xr3:uid="{901D0C52-7F9B-4970-BCD7-F45ABD849DEE}" name="GD6" dataDxfId="69"/>
    <tableColumn id="44" xr3:uid="{933B018B-8604-4AC6-9812-72BBE547D177}" name="GB1" dataDxfId="68"/>
    <tableColumn id="45" xr3:uid="{ADE69EBB-5AB1-41F5-AF02-7D44EA3E5E14}" name="GB2" dataDxfId="67"/>
    <tableColumn id="46" xr3:uid="{2102575D-E476-47BE-A0E6-FEA8BB39E7ED}" name="GB3" dataDxfId="66"/>
    <tableColumn id="47" xr3:uid="{FCA8C86B-0A6F-487F-883A-7561789DEB77}" name="GB4" dataDxfId="65"/>
    <tableColumn id="48" xr3:uid="{0DEF1B1C-A46B-41CD-8B32-19306D84628C}" name="GB5" dataDxfId="64"/>
    <tableColumn id="49" xr3:uid="{71A7D64B-6AD7-476C-A408-0B5A9C572C74}" name="GB6" dataDxfId="63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04BEE03-10D6-4F61-A601-E85A2B2EFE50}" name="LOOKUP_TABLES" displayName="LOOKUP_TABLES" ref="A1:O2" insertRow="1" totalsRowShown="0" headerRowDxfId="62" dataDxfId="61">
  <autoFilter ref="A1:O2" xr:uid="{28F28BD6-18D2-44E8-B918-4722AB53B499}"/>
  <tableColumns count="15">
    <tableColumn id="1" xr3:uid="{4F30A7A5-43EF-4AD0-891C-2A61BDA44680}" name="Calendar" dataDxfId="60"/>
    <tableColumn id="2" xr3:uid="{D0B65E28-4C20-4A87-8BB1-CFD8CB42C267}" name="Name" dataDxfId="59"/>
    <tableColumn id="5" xr3:uid="{7A8FFD47-7A5F-405B-BF94-E1B29FFBE830}" name="Description" dataDxfId="58"/>
    <tableColumn id="3" xr3:uid="{72F52867-D66A-4794-A5EE-D2EA9656EAEF}" name="Start Date" dataDxfId="57"/>
    <tableColumn id="4" xr3:uid="{C84D5FD0-DEA0-4B55-A17E-63B6D5FCB2B0}" name="End Date" dataDxfId="56"/>
    <tableColumn id="8" xr3:uid="{60A81736-5FBB-472F-82D3-E077BD75849F}" name="Unit Type" dataDxfId="55"/>
    <tableColumn id="9" xr3:uid="{FEDC047F-547E-45E8-9FA5-B757589CA27A}" name="Convert NULL" dataDxfId="54"/>
    <tableColumn id="11" xr3:uid="{0838D1B4-2ED4-486C-88BA-A41FD7460B8D}" name="Dim Name" dataDxfId="53"/>
    <tableColumn id="12" xr3:uid="{FDE3D23D-395C-4E0E-B8BC-B68D5E715083}" name="Dim Start Date" dataDxfId="52"/>
    <tableColumn id="13" xr3:uid="{D95C9F80-56ED-46C4-9BF2-5A7F0CA5D127}" name="Dim End Date" dataDxfId="51"/>
    <tableColumn id="14" xr3:uid="{3A2F509C-E431-4ED8-A89A-0CD8E06A3144}" name="Case Sensitive" dataDxfId="50"/>
    <tableColumn id="49" xr3:uid="{3372D3FC-B198-48A6-B413-F6F444B27126}" name="Dim Type" dataDxfId="49"/>
    <tableColumn id="60" xr3:uid="{0426D7D2-0BDD-4F8D-A3A4-F8659EEE0E47}" name="Value" dataDxfId="48"/>
    <tableColumn id="50" xr3:uid="{CCE9A018-97EA-4C20-B1FE-76DEDCA325EF}" name="Low" dataDxfId="47"/>
    <tableColumn id="51" xr3:uid="{F6320351-787C-45CD-B899-388F35FA07CE}" name="High" dataDxfId="46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242CC03-7634-4CB6-86F6-1DC2B63FFFA5}" name="RATE_TABLES" displayName="RATE_TABLES" ref="A1:P2" insertRow="1" totalsRowShown="0" headerRowDxfId="45" dataDxfId="44">
  <autoFilter ref="A1:P2" xr:uid="{AEA9A25F-5EBA-4C73-840D-7EA3204203BC}"/>
  <tableColumns count="16">
    <tableColumn id="1" xr3:uid="{D795C3A4-2F19-444A-B7CD-D29CC79A50DC}" name="Calendar" dataDxfId="43"/>
    <tableColumn id="2" xr3:uid="{ECEB1709-6B89-4F9F-AF70-6A3172A6EB69}" name="Name" dataDxfId="42"/>
    <tableColumn id="3" xr3:uid="{D3E7C367-CAAE-4147-AA5F-3405CD5718F4}" name="Description" dataDxfId="41"/>
    <tableColumn id="4" xr3:uid="{7D3BF4D6-0B45-4721-8567-BCE2CE0CB3A8}" name="Start Date" dataDxfId="40"/>
    <tableColumn id="5" xr3:uid="{D19F1325-DCD5-46B3-A379-20635CF68E96}" name="End Date" dataDxfId="39"/>
    <tableColumn id="6" xr3:uid="{E5F66889-02F3-4F08-90F8-629DC1DA43C0}" name="RATE_EXP_UNIT_TYPE" dataDxfId="38"/>
    <tableColumn id="7" xr3:uid="{2A05B6E5-BDAC-4036-B0F1-F30A0A07499B}" name="RETURN_TYPE" dataDxfId="37"/>
    <tableColumn id="8" xr3:uid="{2D419765-FB4F-4DD3-BB31-8244DA8F05F2}" name="SELECTOR_UNIT_TYPE" dataDxfId="36"/>
    <tableColumn id="9" xr3:uid="{3A9EE617-92B4-40AA-8DD4-4F76C41A4BAF}" name="Start Include" dataDxfId="35"/>
    <tableColumn id="10" xr3:uid="{3352A850-C819-470C-88FC-535C5A5CBF63}" name="Start" dataDxfId="34"/>
    <tableColumn id="11" xr3:uid="{69354F84-3DAF-406A-AD99-E76929733D62}" name="Start Type" dataDxfId="33"/>
    <tableColumn id="26" xr3:uid="{CABACB09-2B84-4026-9FF4-4CEFCDC865CA}" name="End Include" dataDxfId="32"/>
    <tableColumn id="27" xr3:uid="{F0E0BE17-3C2A-48B1-BA99-C4381B50638E}" name="End" dataDxfId="31"/>
    <tableColumn id="28" xr3:uid="{9DEFBE1A-8823-4E86-8F0B-C020E4E35CD1}" name="End Type" dataDxfId="30"/>
    <tableColumn id="29" xr3:uid="{E3C4901D-7B03-4F3E-979A-9520AEF4D2CF}" name="Value" dataDxfId="29"/>
    <tableColumn id="30" xr3:uid="{025017C3-7D81-48C3-99ED-BEC9687BB61F}" name="Unit Type" dataDxfId="28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661299B-E858-4CE0-89A2-006E8B17D337}" name="FIXED_VALUES" displayName="FIXED_VALUES" ref="A1:G2" insertRow="1" totalsRowShown="0" headerRowDxfId="27" dataDxfId="26">
  <autoFilter ref="A1:G2" xr:uid="{589FDF78-A0E6-47AD-A70E-349EF994832D}"/>
  <tableColumns count="7">
    <tableColumn id="1" xr3:uid="{91B6E836-E92B-43D8-BE26-6D3B6CC6472F}" name="Calendar" dataDxfId="25"/>
    <tableColumn id="2" xr3:uid="{D4918F19-0704-4387-8F84-E0C5E1DC7847}" name="Name" dataDxfId="24"/>
    <tableColumn id="3" xr3:uid="{E9E07519-3FC0-4FFC-8267-C8E9036AFA17}" name="Description" dataDxfId="23"/>
    <tableColumn id="4" xr3:uid="{D4B2062D-3E36-407A-B85A-7FD5B78D8EED}" name="Start Date" dataDxfId="22"/>
    <tableColumn id="5" xr3:uid="{D5DE3EE6-B9CE-4701-9047-4C307EC72DF5}" name="End Date" dataDxfId="21"/>
    <tableColumn id="6" xr3:uid="{39B3CD4B-FFAB-4988-90CC-F00A9557E482}" name="Value" dataDxfId="20"/>
    <tableColumn id="7" xr3:uid="{121A5EDC-3707-4EB7-BE93-C005B07BDD3A}" name="Unit Type" dataDxfId="19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54C6BB-C3B4-4F09-9C17-9A65635A94BC}" name="VARIABLES" displayName="VARIABLES" ref="A1:H2" insertRow="1" totalsRowShown="0" headerRowDxfId="18" dataDxfId="17">
  <autoFilter ref="A1:H2" xr:uid="{D00BEB9A-FA95-4A8C-B8EF-F3ACC9749AC9}"/>
  <tableColumns count="8">
    <tableColumn id="1" xr3:uid="{DE712AFC-B73D-402F-9FCC-09229B5C4C52}" name="Calendar" dataDxfId="16"/>
    <tableColumn id="2" xr3:uid="{9EB84F6F-51BD-47D5-86DC-558C5B03D26F}" name="Name" dataDxfId="15"/>
    <tableColumn id="3" xr3:uid="{D292B3A4-646A-4DE9-8A9D-B8488F37057A}" name="Description" dataDxfId="14"/>
    <tableColumn id="4" xr3:uid="{AB422755-D052-4118-8658-DA3FC2ECBF07}" name="Start Date" dataDxfId="13"/>
    <tableColumn id="5" xr3:uid="{A6DB3F29-17C2-4570-9E1F-2B045727B929}" name="End Date" dataDxfId="12"/>
    <tableColumn id="6" xr3:uid="{C115EA74-F261-4894-A24F-384A56A5057F}" name="Return Type" dataDxfId="11"/>
    <tableColumn id="7" xr3:uid="{175C6A95-A798-41D4-83FF-4219A66BC67A}" name="Variable Type" dataDxfId="10"/>
    <tableColumn id="8" xr3:uid="{8C0EF549-3924-4072-9ABE-F246FCC9CCAD}" name="Default" dataDxfId="9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110ED04-D580-4CD2-BB38-1E10D859C2D1}" name="FORMULAS" displayName="FORMULAS" ref="A1:G2" insertRow="1" totalsRowShown="0" headerRowDxfId="8" dataDxfId="7">
  <autoFilter ref="A1:G2" xr:uid="{AE80B449-9DA2-450F-920D-3AFDC43A161F}"/>
  <tableColumns count="7">
    <tableColumn id="1" xr3:uid="{449956DC-9369-4FCF-9778-89C3F8451AFA}" name="Calendar" dataDxfId="6"/>
    <tableColumn id="2" xr3:uid="{23AE9037-4276-4619-B967-7FA715165DDD}" name="Name" dataDxfId="5"/>
    <tableColumn id="3" xr3:uid="{6B59E2E9-4683-423F-8F86-5ED33CCFC837}" name="Description" dataDxfId="4"/>
    <tableColumn id="4" xr3:uid="{A2B0019E-0A23-4CA1-B2ED-3AA61708B064}" name="Start Date" dataDxfId="3"/>
    <tableColumn id="5" xr3:uid="{4804432B-550F-4873-AA63-3623AB5ED854}" name="End Date" dataDxfId="2"/>
    <tableColumn id="6" xr3:uid="{7983A0EE-D793-4454-A01A-137B192ED9E6}" name="Formula" dataDxfId="1"/>
    <tableColumn id="7" xr3:uid="{09C86CDA-4C19-4E8D-8348-2D317347AB8A}" name="Return Typ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964AC-B960-4BE1-B86C-AD45C9289D9E}">
  <sheetPr codeName="Front">
    <tabColor theme="4" tint="0.59999389629810485"/>
  </sheetPr>
  <dimension ref="A1:E14"/>
  <sheetViews>
    <sheetView showGridLines="0" tabSelected="1" workbookViewId="0">
      <selection activeCell="A16" sqref="A16"/>
    </sheetView>
  </sheetViews>
  <sheetFormatPr defaultRowHeight="14.4" x14ac:dyDescent="0.3"/>
  <cols>
    <col min="1" max="1" width="13.33203125" customWidth="1"/>
    <col min="2" max="3" width="9.6640625" customWidth="1"/>
    <col min="4" max="4" width="13.109375" customWidth="1"/>
    <col min="5" max="12" width="9.6640625" customWidth="1"/>
    <col min="13" max="13" width="59.44140625" bestFit="1" customWidth="1"/>
    <col min="14" max="14" width="40.77734375" bestFit="1" customWidth="1"/>
    <col min="15" max="15" width="30" bestFit="1" customWidth="1"/>
    <col min="16" max="16" width="42" bestFit="1" customWidth="1"/>
    <col min="17" max="17" width="22.33203125" bestFit="1" customWidth="1"/>
  </cols>
  <sheetData>
    <row r="1" spans="1:5" s="1" customFormat="1" x14ac:dyDescent="0.3">
      <c r="A1" s="1" t="s">
        <v>91</v>
      </c>
    </row>
    <row r="2" spans="1:5" s="2" customFormat="1" x14ac:dyDescent="0.3">
      <c r="A2" s="2" t="s">
        <v>90</v>
      </c>
    </row>
    <row r="7" spans="1:5" s="1" customFormat="1" x14ac:dyDescent="0.3">
      <c r="A7" s="32" t="s">
        <v>104</v>
      </c>
      <c r="B7" s="32"/>
      <c r="D7" s="1" t="s">
        <v>103</v>
      </c>
    </row>
    <row r="8" spans="1:5" s="30" customFormat="1" x14ac:dyDescent="0.3">
      <c r="A8" s="31" t="s">
        <v>92</v>
      </c>
      <c r="B8" s="30">
        <f>COUNTA(_xlfn.UNIQUE(PLANS[Calendar]))-COUNTBLANK(PLANS[Calendar])</f>
        <v>0</v>
      </c>
      <c r="D8" s="31" t="s">
        <v>98</v>
      </c>
      <c r="E8" s="30">
        <f>COUNTA(_xlfn.UNIQUE(LOOKUP_TABLES[Calendar]))-COUNTBLANK(LOOKUP_TABLES[Calendar])</f>
        <v>0</v>
      </c>
    </row>
    <row r="9" spans="1:5" s="30" customFormat="1" x14ac:dyDescent="0.3">
      <c r="A9" s="31" t="s">
        <v>93</v>
      </c>
      <c r="B9" s="30">
        <f>COUNTA(_xlfn.UNIQUE(COMPONENTS[Calendar]))-COUNTBLANK(COMPONENTS[Calendar])</f>
        <v>0</v>
      </c>
      <c r="D9" s="31" t="s">
        <v>99</v>
      </c>
      <c r="E9" s="30">
        <f>COUNTA(_xlfn.UNIQUE(RATE_TABLES[Calendar]))-COUNTBLANK(RATE_TABLES[Calendar])</f>
        <v>0</v>
      </c>
    </row>
    <row r="10" spans="1:5" s="30" customFormat="1" x14ac:dyDescent="0.3">
      <c r="A10" s="31" t="s">
        <v>94</v>
      </c>
      <c r="B10" s="30">
        <f>COUNTA(_xlfn.UNIQUE(CREDITRULES[Calendar]))-COUNTBLANK(CREDITRULES[Calendar])</f>
        <v>0</v>
      </c>
      <c r="D10" s="31" t="s">
        <v>100</v>
      </c>
      <c r="E10" s="30">
        <f>COUNTA(_xlfn.UNIQUE(FIXED_VALUES[Calendar]))-COUNTBLANK(FIXED_VALUES[Calendar])</f>
        <v>0</v>
      </c>
    </row>
    <row r="11" spans="1:5" s="30" customFormat="1" x14ac:dyDescent="0.3">
      <c r="A11" s="31" t="s">
        <v>95</v>
      </c>
      <c r="B11" s="30">
        <f>COUNTA(_xlfn.UNIQUE(MEASUREMENTS[Calendar]))-COUNTBLANK(MEASUREMENTS[Calendar])</f>
        <v>0</v>
      </c>
      <c r="D11" s="31" t="s">
        <v>101</v>
      </c>
      <c r="E11" s="30">
        <f>COUNTA(_xlfn.UNIQUE(VARIABLES[Calendar]))-COUNTBLANK(VARIABLES[Calendar])</f>
        <v>0</v>
      </c>
    </row>
    <row r="12" spans="1:5" s="30" customFormat="1" x14ac:dyDescent="0.3">
      <c r="A12" s="31" t="s">
        <v>96</v>
      </c>
      <c r="B12" s="30">
        <f>COUNTA(_xlfn.UNIQUE(INCENTIVES[Calendar]))-COUNTBLANK(INCENTIVES[Calendar])</f>
        <v>0</v>
      </c>
      <c r="D12" s="31" t="s">
        <v>102</v>
      </c>
      <c r="E12" s="30">
        <f>COUNTA(_xlfn.UNIQUE(FORMULAS[Calendar]))-COUNTBLANK(FORMULAS[Calendar])</f>
        <v>0</v>
      </c>
    </row>
    <row r="13" spans="1:5" s="30" customFormat="1" x14ac:dyDescent="0.3">
      <c r="A13" s="31" t="s">
        <v>97</v>
      </c>
      <c r="B13" s="30">
        <f>COUNTA(_xlfn.UNIQUE(DEPOSITS[Calendar]))-COUNTBLANK(DEPOSITS[Calendar])</f>
        <v>0</v>
      </c>
    </row>
    <row r="14" spans="1:5" s="30" customFormat="1" x14ac:dyDescent="0.3"/>
  </sheetData>
  <hyperlinks>
    <hyperlink ref="A8" location="PLANS!A1" display="Plans" xr:uid="{0BF0DDE4-B376-43D6-928B-EFFE14E5F680}"/>
    <hyperlink ref="A9" location="'COMPONENTS'!A1" display="Components" xr:uid="{1A43299E-7DE6-4EF3-8A69-943A615AC3D6}"/>
    <hyperlink ref="A10" location="'CREDITRULES'!A1" display="Creditrules" xr:uid="{A6B9BAF3-082B-47FE-A255-8958EBBBB3C9}"/>
    <hyperlink ref="A11" location="MEASUREMENTS!A1" display="Measurements" xr:uid="{508832C4-BDE0-4DF1-9F6D-2D28865226F3}"/>
    <hyperlink ref="A12" location="INCENTIVES!A1" display="Incentives" xr:uid="{516F718A-38FF-46D3-AF41-B73C217A499C}"/>
    <hyperlink ref="A13" location="DEPOSITS!A1" display="Deposits" xr:uid="{09EF0E1E-3D88-4AF9-A96C-DF79FE5B7735}"/>
    <hyperlink ref="D8" location="LOOKUP_TABLES!A1" display="Lookup Tables" xr:uid="{66137632-FDA3-43A4-B51E-90489F4BFF7E}"/>
    <hyperlink ref="D9" location="'RATE_TABLES'!A1" display="Rate Tables" xr:uid="{A2913817-2A42-4212-8B86-BCDC6EC04B56}"/>
    <hyperlink ref="D10" location="FIXED_VALUES!A1" display="Fixed Values" xr:uid="{A61EE99E-60DA-447B-948A-370D159611EF}"/>
    <hyperlink ref="D11" location="VARIABLES!A1" display="Variables" xr:uid="{58FDD6EB-8FB0-4319-A07A-68E377512A74}"/>
    <hyperlink ref="D12" location="FORMULAS!A1" display="Formulas" xr:uid="{4FDCF8F3-A225-42A7-A35A-2D4C6001AB05}"/>
  </hyperlinks>
  <pageMargins left="0.7" right="0.7" top="0.75" bottom="0.75" header="0.3" footer="0.3"/>
  <pageSetup orientation="portrait" r:id="rId1"/>
  <headerFooter>
    <oddFooter>&amp;L&amp;1#&amp;"Calibri"&amp;7&amp;K000000C2 General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elect_Plan_File_Path">
                <anchor>
                  <from>
                    <xdr:col>0</xdr:col>
                    <xdr:colOff>137160</xdr:colOff>
                    <xdr:row>3</xdr:row>
                    <xdr:rowOff>38100</xdr:rowOff>
                  </from>
                  <to>
                    <xdr:col>1</xdr:col>
                    <xdr:colOff>586740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_xludf.Parse">
                <anchor>
                  <from>
                    <xdr:col>2</xdr:col>
                    <xdr:colOff>190500</xdr:colOff>
                    <xdr:row>3</xdr:row>
                    <xdr:rowOff>30480</xdr:rowOff>
                  </from>
                  <to>
                    <xdr:col>3</xdr:col>
                    <xdr:colOff>891540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DF0D3-1641-4159-94CB-37B807838D87}">
  <sheetPr codeName="PLANS">
    <tabColor theme="9" tint="0.59999389629810485"/>
  </sheetPr>
  <dimension ref="A1:H2"/>
  <sheetViews>
    <sheetView workbookViewId="0"/>
  </sheetViews>
  <sheetFormatPr defaultColWidth="8.77734375" defaultRowHeight="10.199999999999999" x14ac:dyDescent="0.2"/>
  <cols>
    <col min="1" max="1" width="8.33203125" style="3" bestFit="1" customWidth="1"/>
    <col min="2" max="2" width="6.6640625" style="3" bestFit="1" customWidth="1"/>
    <col min="3" max="3" width="9.88671875" style="3" bestFit="1" customWidth="1"/>
    <col min="4" max="4" width="9.21875" style="4" bestFit="1" customWidth="1"/>
    <col min="5" max="5" width="8.44140625" style="4" bestFit="1" customWidth="1"/>
    <col min="6" max="6" width="10.21875" style="3" bestFit="1" customWidth="1"/>
    <col min="7" max="7" width="13.5546875" style="4" bestFit="1" customWidth="1"/>
    <col min="8" max="8" width="12.77734375" style="4" bestFit="1" customWidth="1"/>
    <col min="9" max="16384" width="8.77734375" style="3"/>
  </cols>
  <sheetData>
    <row r="1" spans="1:8" x14ac:dyDescent="0.2">
      <c r="A1" s="5" t="s">
        <v>0</v>
      </c>
      <c r="B1" s="5" t="s">
        <v>1</v>
      </c>
      <c r="C1" s="5" t="s">
        <v>68</v>
      </c>
      <c r="D1" s="6" t="s">
        <v>2</v>
      </c>
      <c r="E1" s="6" t="s">
        <v>3</v>
      </c>
      <c r="F1" s="7" t="s">
        <v>4</v>
      </c>
      <c r="G1" s="16" t="s">
        <v>12</v>
      </c>
      <c r="H1" s="16" t="s">
        <v>13</v>
      </c>
    </row>
    <row r="2" spans="1:8" x14ac:dyDescent="0.2">
      <c r="A2" s="8"/>
      <c r="B2" s="8"/>
      <c r="C2" s="8"/>
      <c r="D2" s="9"/>
      <c r="E2" s="9"/>
      <c r="F2" s="17"/>
      <c r="G2" s="18"/>
      <c r="H2" s="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7D1B4-3BB1-47B7-B56B-1B057B201AFC}">
  <sheetPr codeName="COMPONENTS">
    <tabColor theme="9" tint="0.59999389629810485"/>
  </sheetPr>
  <dimension ref="A1:I2"/>
  <sheetViews>
    <sheetView workbookViewId="0"/>
  </sheetViews>
  <sheetFormatPr defaultColWidth="8.77734375" defaultRowHeight="10.199999999999999" x14ac:dyDescent="0.2"/>
  <cols>
    <col min="1" max="1" width="8.33203125" style="3" bestFit="1" customWidth="1"/>
    <col min="2" max="2" width="6.6640625" style="3" bestFit="1" customWidth="1"/>
    <col min="3" max="3" width="9.88671875" style="3" bestFit="1" customWidth="1"/>
    <col min="4" max="4" width="9.21875" style="4" bestFit="1" customWidth="1"/>
    <col min="5" max="5" width="8.44140625" style="4" bestFit="1" customWidth="1"/>
    <col min="6" max="6" width="5.6640625" style="3" bestFit="1" customWidth="1"/>
    <col min="7" max="7" width="8.88671875" style="3" bestFit="1" customWidth="1"/>
    <col min="8" max="8" width="9" style="4" bestFit="1" customWidth="1"/>
    <col min="9" max="9" width="8.21875" style="4" bestFit="1" customWidth="1"/>
    <col min="10" max="16384" width="8.77734375" style="3"/>
  </cols>
  <sheetData>
    <row r="1" spans="1:9" x14ac:dyDescent="0.2">
      <c r="A1" s="5" t="s">
        <v>0</v>
      </c>
      <c r="B1" s="5" t="s">
        <v>1</v>
      </c>
      <c r="C1" s="5" t="s">
        <v>68</v>
      </c>
      <c r="D1" s="6" t="s">
        <v>2</v>
      </c>
      <c r="E1" s="6" t="s">
        <v>3</v>
      </c>
      <c r="F1" s="7" t="s">
        <v>8</v>
      </c>
      <c r="G1" s="7" t="s">
        <v>9</v>
      </c>
      <c r="H1" s="16" t="s">
        <v>10</v>
      </c>
      <c r="I1" s="16" t="s">
        <v>11</v>
      </c>
    </row>
    <row r="2" spans="1:9" x14ac:dyDescent="0.2">
      <c r="A2" s="8"/>
      <c r="B2" s="8"/>
      <c r="C2" s="8"/>
      <c r="D2" s="9"/>
      <c r="E2" s="9"/>
      <c r="F2" s="17"/>
      <c r="G2" s="17"/>
      <c r="H2" s="18"/>
      <c r="I2" s="18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8A7CC-204E-4014-B028-FB0B6CBBC99C}">
  <sheetPr codeName="CREDITRULES">
    <tabColor theme="9" tint="0.59999389629810485"/>
  </sheetPr>
  <dimension ref="A1:BD2"/>
  <sheetViews>
    <sheetView workbookViewId="0"/>
  </sheetViews>
  <sheetFormatPr defaultColWidth="8.77734375" defaultRowHeight="10.199999999999999" x14ac:dyDescent="0.2"/>
  <cols>
    <col min="1" max="1" width="8.33203125" style="3" bestFit="1" customWidth="1"/>
    <col min="2" max="2" width="6.6640625" style="3" bestFit="1" customWidth="1"/>
    <col min="3" max="3" width="9.88671875" style="3" bestFit="1" customWidth="1"/>
    <col min="4" max="4" width="9.21875" style="4" bestFit="1" customWidth="1"/>
    <col min="5" max="5" width="8.44140625" style="4" bestFit="1" customWidth="1"/>
    <col min="6" max="6" width="8.88671875" style="4" bestFit="1" customWidth="1"/>
    <col min="7" max="7" width="9.6640625" style="4" bestFit="1" customWidth="1"/>
    <col min="8" max="8" width="8.88671875" style="4" bestFit="1" customWidth="1"/>
    <col min="9" max="9" width="11.44140625" style="3" bestFit="1" customWidth="1"/>
    <col min="10" max="10" width="11.21875" style="3" bestFit="1" customWidth="1"/>
    <col min="11" max="11" width="9.77734375" style="3" bestFit="1" customWidth="1"/>
    <col min="12" max="12" width="10.21875" style="3" bestFit="1" customWidth="1"/>
    <col min="13" max="13" width="5.88671875" style="3" bestFit="1" customWidth="1"/>
    <col min="14" max="14" width="8.77734375" style="3"/>
    <col min="15" max="15" width="6.44140625" style="3" bestFit="1" customWidth="1"/>
    <col min="16" max="16" width="5.77734375" style="3" bestFit="1" customWidth="1"/>
    <col min="17" max="17" width="7.6640625" style="3" bestFit="1" customWidth="1"/>
    <col min="18" max="18" width="9.44140625" style="3" bestFit="1" customWidth="1"/>
    <col min="19" max="19" width="10" style="3" bestFit="1" customWidth="1"/>
    <col min="20" max="20" width="8.6640625" style="3" bestFit="1" customWidth="1"/>
    <col min="21" max="21" width="7.21875" style="3" bestFit="1" customWidth="1"/>
    <col min="22" max="22" width="8.44140625" style="3" bestFit="1" customWidth="1"/>
    <col min="23" max="31" width="5.5546875" style="3" bestFit="1" customWidth="1"/>
    <col min="32" max="38" width="6.33203125" style="3" bestFit="1" customWidth="1"/>
    <col min="39" max="44" width="5.6640625" style="3" bestFit="1" customWidth="1"/>
    <col min="45" max="50" width="5.5546875" style="3" bestFit="1" customWidth="1"/>
    <col min="51" max="56" width="5.44140625" style="3" bestFit="1" customWidth="1"/>
    <col min="57" max="16384" width="8.77734375" style="3"/>
  </cols>
  <sheetData>
    <row r="1" spans="1:56" x14ac:dyDescent="0.2">
      <c r="A1" s="5" t="s">
        <v>0</v>
      </c>
      <c r="B1" s="5" t="s">
        <v>1</v>
      </c>
      <c r="C1" s="5" t="s">
        <v>68</v>
      </c>
      <c r="D1" s="6" t="s">
        <v>2</v>
      </c>
      <c r="E1" s="6" t="s">
        <v>3</v>
      </c>
      <c r="F1" s="6" t="s">
        <v>61</v>
      </c>
      <c r="G1" s="6" t="s">
        <v>62</v>
      </c>
      <c r="H1" s="6" t="s">
        <v>9</v>
      </c>
      <c r="I1" s="7" t="s">
        <v>14</v>
      </c>
      <c r="J1" s="7" t="s">
        <v>15</v>
      </c>
      <c r="K1" s="7" t="s">
        <v>16</v>
      </c>
      <c r="L1" s="7" t="s">
        <v>17</v>
      </c>
      <c r="M1" s="7" t="s">
        <v>5</v>
      </c>
      <c r="N1" s="7" t="s">
        <v>18</v>
      </c>
      <c r="O1" s="7" t="s">
        <v>19</v>
      </c>
      <c r="P1" s="7" t="s">
        <v>20</v>
      </c>
      <c r="Q1" s="7" t="s">
        <v>21</v>
      </c>
      <c r="R1" s="7" t="s">
        <v>22</v>
      </c>
      <c r="S1" s="7" t="s">
        <v>23</v>
      </c>
      <c r="T1" s="7" t="s">
        <v>24</v>
      </c>
      <c r="U1" s="7" t="s">
        <v>25</v>
      </c>
      <c r="V1" s="7" t="s">
        <v>26</v>
      </c>
      <c r="W1" s="7" t="s">
        <v>27</v>
      </c>
      <c r="X1" s="7" t="s">
        <v>28</v>
      </c>
      <c r="Y1" s="7" t="s">
        <v>29</v>
      </c>
      <c r="Z1" s="7" t="s">
        <v>30</v>
      </c>
      <c r="AA1" s="7" t="s">
        <v>31</v>
      </c>
      <c r="AB1" s="7" t="s">
        <v>32</v>
      </c>
      <c r="AC1" s="7" t="s">
        <v>33</v>
      </c>
      <c r="AD1" s="7" t="s">
        <v>34</v>
      </c>
      <c r="AE1" s="7" t="s">
        <v>35</v>
      </c>
      <c r="AF1" s="7" t="s">
        <v>36</v>
      </c>
      <c r="AG1" s="7" t="s">
        <v>37</v>
      </c>
      <c r="AH1" s="7" t="s">
        <v>38</v>
      </c>
      <c r="AI1" s="7" t="s">
        <v>39</v>
      </c>
      <c r="AJ1" s="7" t="s">
        <v>40</v>
      </c>
      <c r="AK1" s="7" t="s">
        <v>41</v>
      </c>
      <c r="AL1" s="7" t="s">
        <v>42</v>
      </c>
      <c r="AM1" s="7" t="s">
        <v>43</v>
      </c>
      <c r="AN1" s="7" t="s">
        <v>44</v>
      </c>
      <c r="AO1" s="7" t="s">
        <v>45</v>
      </c>
      <c r="AP1" s="7" t="s">
        <v>46</v>
      </c>
      <c r="AQ1" s="7" t="s">
        <v>47</v>
      </c>
      <c r="AR1" s="7" t="s">
        <v>48</v>
      </c>
      <c r="AS1" s="7" t="s">
        <v>49</v>
      </c>
      <c r="AT1" s="7" t="s">
        <v>50</v>
      </c>
      <c r="AU1" s="7" t="s">
        <v>51</v>
      </c>
      <c r="AV1" s="7" t="s">
        <v>52</v>
      </c>
      <c r="AW1" s="7" t="s">
        <v>53</v>
      </c>
      <c r="AX1" s="7" t="s">
        <v>54</v>
      </c>
      <c r="AY1" s="7" t="s">
        <v>55</v>
      </c>
      <c r="AZ1" s="7" t="s">
        <v>56</v>
      </c>
      <c r="BA1" s="7" t="s">
        <v>57</v>
      </c>
      <c r="BB1" s="7" t="s">
        <v>58</v>
      </c>
      <c r="BC1" s="7" t="s">
        <v>59</v>
      </c>
      <c r="BD1" s="7" t="s">
        <v>60</v>
      </c>
    </row>
    <row r="2" spans="1:56" x14ac:dyDescent="0.2">
      <c r="A2" s="8"/>
      <c r="B2" s="8"/>
      <c r="C2" s="8"/>
      <c r="D2" s="9"/>
      <c r="E2" s="9"/>
      <c r="F2" s="9"/>
      <c r="G2" s="9"/>
      <c r="H2" s="9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4"/>
      <c r="AN2" s="14"/>
      <c r="AO2" s="14"/>
      <c r="AP2" s="14"/>
      <c r="AQ2" s="14"/>
      <c r="AR2" s="14"/>
      <c r="AS2" s="15"/>
      <c r="AT2" s="15"/>
      <c r="AU2" s="15"/>
      <c r="AV2" s="15"/>
      <c r="AW2" s="15"/>
      <c r="AX2" s="15"/>
      <c r="AY2" s="11"/>
      <c r="AZ2" s="11"/>
      <c r="BA2" s="11"/>
      <c r="BB2" s="11"/>
      <c r="BC2" s="11"/>
      <c r="BD2" s="11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C803E-3592-4D5C-A35E-AD5347952CDE}">
  <sheetPr codeName="MEASUREMENTS">
    <tabColor theme="9" tint="0.59999389629810485"/>
  </sheetPr>
  <dimension ref="A1:AV2"/>
  <sheetViews>
    <sheetView zoomScaleNormal="100" workbookViewId="0"/>
  </sheetViews>
  <sheetFormatPr defaultColWidth="8.77734375" defaultRowHeight="10.199999999999999" x14ac:dyDescent="0.2"/>
  <cols>
    <col min="1" max="1" width="8.33203125" style="3" bestFit="1" customWidth="1"/>
    <col min="2" max="2" width="6.6640625" style="3" bestFit="1" customWidth="1"/>
    <col min="3" max="3" width="9.88671875" style="3" bestFit="1" customWidth="1"/>
    <col min="4" max="4" width="9.21875" style="4" bestFit="1" customWidth="1"/>
    <col min="5" max="5" width="8.44140625" style="4" bestFit="1" customWidth="1"/>
    <col min="6" max="7" width="8.88671875" style="3" bestFit="1" customWidth="1"/>
    <col min="8" max="8" width="11.44140625" style="3" bestFit="1" customWidth="1"/>
    <col min="9" max="9" width="11.21875" style="3" bestFit="1" customWidth="1"/>
    <col min="10" max="10" width="9.77734375" style="3" bestFit="1" customWidth="1"/>
    <col min="11" max="11" width="10.21875" style="3" bestFit="1" customWidth="1"/>
    <col min="12" max="12" width="5.88671875" style="3" bestFit="1" customWidth="1"/>
    <col min="13" max="13" width="8.77734375" style="3" bestFit="1" customWidth="1"/>
    <col min="14" max="14" width="6.44140625" style="3" bestFit="1" customWidth="1"/>
    <col min="15" max="23" width="5.5546875" style="3" bestFit="1" customWidth="1"/>
    <col min="24" max="30" width="6.33203125" style="3" bestFit="1" customWidth="1"/>
    <col min="31" max="36" width="5.6640625" style="3" bestFit="1" customWidth="1"/>
    <col min="37" max="42" width="5.5546875" style="3" bestFit="1" customWidth="1"/>
    <col min="43" max="48" width="5.44140625" style="3" bestFit="1" customWidth="1"/>
    <col min="49" max="16384" width="8.77734375" style="3"/>
  </cols>
  <sheetData>
    <row r="1" spans="1:48" x14ac:dyDescent="0.2">
      <c r="A1" s="5" t="s">
        <v>0</v>
      </c>
      <c r="B1" s="5" t="s">
        <v>1</v>
      </c>
      <c r="C1" s="5" t="s">
        <v>68</v>
      </c>
      <c r="D1" s="6" t="s">
        <v>2</v>
      </c>
      <c r="E1" s="6" t="s">
        <v>3</v>
      </c>
      <c r="F1" s="5" t="s">
        <v>61</v>
      </c>
      <c r="G1" s="5" t="s">
        <v>9</v>
      </c>
      <c r="H1" s="7" t="s">
        <v>14</v>
      </c>
      <c r="I1" s="7" t="s">
        <v>15</v>
      </c>
      <c r="J1" s="7" t="s">
        <v>16</v>
      </c>
      <c r="K1" s="7" t="s">
        <v>17</v>
      </c>
      <c r="L1" s="7" t="s">
        <v>5</v>
      </c>
      <c r="M1" s="7" t="s">
        <v>18</v>
      </c>
      <c r="N1" s="7" t="s">
        <v>19</v>
      </c>
      <c r="O1" s="7" t="s">
        <v>27</v>
      </c>
      <c r="P1" s="7" t="s">
        <v>28</v>
      </c>
      <c r="Q1" s="7" t="s">
        <v>29</v>
      </c>
      <c r="R1" s="7" t="s">
        <v>30</v>
      </c>
      <c r="S1" s="7" t="s">
        <v>31</v>
      </c>
      <c r="T1" s="7" t="s">
        <v>32</v>
      </c>
      <c r="U1" s="7" t="s">
        <v>33</v>
      </c>
      <c r="V1" s="7" t="s">
        <v>34</v>
      </c>
      <c r="W1" s="7" t="s">
        <v>35</v>
      </c>
      <c r="X1" s="7" t="s">
        <v>36</v>
      </c>
      <c r="Y1" s="7" t="s">
        <v>37</v>
      </c>
      <c r="Z1" s="7" t="s">
        <v>38</v>
      </c>
      <c r="AA1" s="7" t="s">
        <v>39</v>
      </c>
      <c r="AB1" s="7" t="s">
        <v>40</v>
      </c>
      <c r="AC1" s="7" t="s">
        <v>41</v>
      </c>
      <c r="AD1" s="7" t="s">
        <v>42</v>
      </c>
      <c r="AE1" s="7" t="s">
        <v>43</v>
      </c>
      <c r="AF1" s="7" t="s">
        <v>44</v>
      </c>
      <c r="AG1" s="7" t="s">
        <v>45</v>
      </c>
      <c r="AH1" s="7" t="s">
        <v>46</v>
      </c>
      <c r="AI1" s="7" t="s">
        <v>47</v>
      </c>
      <c r="AJ1" s="7" t="s">
        <v>48</v>
      </c>
      <c r="AK1" s="7" t="s">
        <v>49</v>
      </c>
      <c r="AL1" s="7" t="s">
        <v>50</v>
      </c>
      <c r="AM1" s="7" t="s">
        <v>51</v>
      </c>
      <c r="AN1" s="7" t="s">
        <v>52</v>
      </c>
      <c r="AO1" s="7" t="s">
        <v>53</v>
      </c>
      <c r="AP1" s="7" t="s">
        <v>54</v>
      </c>
      <c r="AQ1" s="7" t="s">
        <v>55</v>
      </c>
      <c r="AR1" s="7" t="s">
        <v>56</v>
      </c>
      <c r="AS1" s="7" t="s">
        <v>57</v>
      </c>
      <c r="AT1" s="7" t="s">
        <v>58</v>
      </c>
      <c r="AU1" s="7" t="s">
        <v>59</v>
      </c>
      <c r="AV1" s="7" t="s">
        <v>60</v>
      </c>
    </row>
    <row r="2" spans="1:48" x14ac:dyDescent="0.2">
      <c r="A2" s="11"/>
      <c r="B2" s="11"/>
      <c r="C2" s="11"/>
      <c r="D2" s="12"/>
      <c r="E2" s="12"/>
      <c r="F2" s="11"/>
      <c r="G2" s="11"/>
      <c r="H2" s="10"/>
      <c r="I2" s="10"/>
      <c r="J2" s="10"/>
      <c r="K2" s="10"/>
      <c r="L2" s="10"/>
      <c r="M2" s="10"/>
      <c r="N2" s="10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4"/>
      <c r="AF2" s="14"/>
      <c r="AG2" s="14"/>
      <c r="AH2" s="14"/>
      <c r="AI2" s="14"/>
      <c r="AJ2" s="14"/>
      <c r="AK2" s="15"/>
      <c r="AL2" s="15"/>
      <c r="AM2" s="15"/>
      <c r="AN2" s="15"/>
      <c r="AO2" s="15"/>
      <c r="AP2" s="15"/>
      <c r="AQ2" s="11"/>
      <c r="AR2" s="11"/>
      <c r="AS2" s="11"/>
      <c r="AT2" s="11"/>
      <c r="AU2" s="11"/>
      <c r="AV2" s="11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617DC-4185-46A5-BE25-1253E3A529F2}">
  <sheetPr codeName="INCENTIVES">
    <tabColor theme="9" tint="0.59999389629810485"/>
  </sheetPr>
  <dimension ref="A1:AZ2"/>
  <sheetViews>
    <sheetView workbookViewId="0"/>
  </sheetViews>
  <sheetFormatPr defaultColWidth="8.77734375" defaultRowHeight="10.199999999999999" x14ac:dyDescent="0.2"/>
  <cols>
    <col min="1" max="1" width="8.33203125" style="3" bestFit="1" customWidth="1"/>
    <col min="2" max="2" width="6.6640625" style="3" bestFit="1" customWidth="1"/>
    <col min="3" max="3" width="9.88671875" style="3" bestFit="1" customWidth="1"/>
    <col min="4" max="4" width="9.21875" style="4" bestFit="1" customWidth="1"/>
    <col min="5" max="5" width="8.44140625" style="4" bestFit="1" customWidth="1"/>
    <col min="6" max="7" width="8.88671875" style="3" bestFit="1" customWidth="1"/>
    <col min="8" max="8" width="11.44140625" style="3" bestFit="1" customWidth="1"/>
    <col min="9" max="9" width="11.21875" style="3" bestFit="1" customWidth="1"/>
    <col min="10" max="10" width="9.77734375" style="3" bestFit="1" customWidth="1"/>
    <col min="11" max="11" width="10.21875" style="3" bestFit="1" customWidth="1"/>
    <col min="12" max="12" width="5.88671875" style="3" bestFit="1" customWidth="1"/>
    <col min="13" max="13" width="8.77734375" style="3"/>
    <col min="14" max="14" width="6.44140625" style="3" bestFit="1" customWidth="1"/>
    <col min="15" max="15" width="5.77734375" style="3" bestFit="1" customWidth="1"/>
    <col min="16" max="16" width="13.6640625" style="3" bestFit="1" customWidth="1"/>
    <col min="17" max="17" width="19.5546875" style="3" bestFit="1" customWidth="1"/>
    <col min="18" max="18" width="18" style="3" bestFit="1" customWidth="1"/>
    <col min="19" max="27" width="5.5546875" style="3" bestFit="1" customWidth="1"/>
    <col min="28" max="34" width="6.33203125" style="3" bestFit="1" customWidth="1"/>
    <col min="35" max="40" width="5.6640625" style="3" bestFit="1" customWidth="1"/>
    <col min="41" max="46" width="5.5546875" style="3" bestFit="1" customWidth="1"/>
    <col min="47" max="52" width="5.44140625" style="3" bestFit="1" customWidth="1"/>
    <col min="53" max="16384" width="8.77734375" style="3"/>
  </cols>
  <sheetData>
    <row r="1" spans="1:52" x14ac:dyDescent="0.2">
      <c r="A1" s="5" t="s">
        <v>0</v>
      </c>
      <c r="B1" s="5" t="s">
        <v>1</v>
      </c>
      <c r="C1" s="5" t="s">
        <v>68</v>
      </c>
      <c r="D1" s="6" t="s">
        <v>2</v>
      </c>
      <c r="E1" s="6" t="s">
        <v>3</v>
      </c>
      <c r="F1" s="5" t="s">
        <v>61</v>
      </c>
      <c r="G1" s="5" t="s">
        <v>9</v>
      </c>
      <c r="H1" s="7" t="s">
        <v>14</v>
      </c>
      <c r="I1" s="7" t="s">
        <v>15</v>
      </c>
      <c r="J1" s="7" t="s">
        <v>16</v>
      </c>
      <c r="K1" s="7" t="s">
        <v>17</v>
      </c>
      <c r="L1" s="7" t="s">
        <v>5</v>
      </c>
      <c r="M1" s="7" t="s">
        <v>18</v>
      </c>
      <c r="N1" s="7" t="s">
        <v>19</v>
      </c>
      <c r="O1" s="7" t="s">
        <v>63</v>
      </c>
      <c r="P1" s="7" t="s">
        <v>64</v>
      </c>
      <c r="Q1" s="7" t="s">
        <v>65</v>
      </c>
      <c r="R1" s="7" t="s">
        <v>66</v>
      </c>
      <c r="S1" s="7" t="s">
        <v>27</v>
      </c>
      <c r="T1" s="7" t="s">
        <v>28</v>
      </c>
      <c r="U1" s="7" t="s">
        <v>29</v>
      </c>
      <c r="V1" s="7" t="s">
        <v>30</v>
      </c>
      <c r="W1" s="7" t="s">
        <v>31</v>
      </c>
      <c r="X1" s="7" t="s">
        <v>32</v>
      </c>
      <c r="Y1" s="7" t="s">
        <v>33</v>
      </c>
      <c r="Z1" s="7" t="s">
        <v>34</v>
      </c>
      <c r="AA1" s="7" t="s">
        <v>35</v>
      </c>
      <c r="AB1" s="7" t="s">
        <v>36</v>
      </c>
      <c r="AC1" s="7" t="s">
        <v>37</v>
      </c>
      <c r="AD1" s="7" t="s">
        <v>38</v>
      </c>
      <c r="AE1" s="7" t="s">
        <v>39</v>
      </c>
      <c r="AF1" s="7" t="s">
        <v>40</v>
      </c>
      <c r="AG1" s="7" t="s">
        <v>41</v>
      </c>
      <c r="AH1" s="7" t="s">
        <v>42</v>
      </c>
      <c r="AI1" s="7" t="s">
        <v>43</v>
      </c>
      <c r="AJ1" s="7" t="s">
        <v>44</v>
      </c>
      <c r="AK1" s="7" t="s">
        <v>45</v>
      </c>
      <c r="AL1" s="7" t="s">
        <v>46</v>
      </c>
      <c r="AM1" s="7" t="s">
        <v>47</v>
      </c>
      <c r="AN1" s="7" t="s">
        <v>48</v>
      </c>
      <c r="AO1" s="7" t="s">
        <v>49</v>
      </c>
      <c r="AP1" s="7" t="s">
        <v>50</v>
      </c>
      <c r="AQ1" s="7" t="s">
        <v>51</v>
      </c>
      <c r="AR1" s="7" t="s">
        <v>52</v>
      </c>
      <c r="AS1" s="7" t="s">
        <v>53</v>
      </c>
      <c r="AT1" s="7" t="s">
        <v>54</v>
      </c>
      <c r="AU1" s="7" t="s">
        <v>55</v>
      </c>
      <c r="AV1" s="7" t="s">
        <v>56</v>
      </c>
      <c r="AW1" s="7" t="s">
        <v>57</v>
      </c>
      <c r="AX1" s="7" t="s">
        <v>58</v>
      </c>
      <c r="AY1" s="7" t="s">
        <v>59</v>
      </c>
      <c r="AZ1" s="7" t="s">
        <v>60</v>
      </c>
    </row>
    <row r="2" spans="1:52" x14ac:dyDescent="0.2">
      <c r="A2" s="11"/>
      <c r="B2" s="11"/>
      <c r="C2" s="11"/>
      <c r="D2" s="12"/>
      <c r="E2" s="12"/>
      <c r="F2" s="11"/>
      <c r="G2" s="11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4"/>
      <c r="AJ2" s="14"/>
      <c r="AK2" s="14"/>
      <c r="AL2" s="14"/>
      <c r="AM2" s="14"/>
      <c r="AN2" s="14"/>
      <c r="AO2" s="15"/>
      <c r="AP2" s="15"/>
      <c r="AQ2" s="15"/>
      <c r="AR2" s="15"/>
      <c r="AS2" s="15"/>
      <c r="AT2" s="15"/>
      <c r="AU2" s="11"/>
      <c r="AV2" s="11"/>
      <c r="AW2" s="11"/>
      <c r="AX2" s="11"/>
      <c r="AY2" s="11"/>
      <c r="AZ2" s="11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F7062-8890-4925-82BE-19BB5C15129A}">
  <sheetPr codeName="DEPOSITS">
    <tabColor theme="9" tint="0.59999389629810485"/>
  </sheetPr>
  <dimension ref="A1:AZ2"/>
  <sheetViews>
    <sheetView workbookViewId="0"/>
  </sheetViews>
  <sheetFormatPr defaultColWidth="8.77734375" defaultRowHeight="10.199999999999999" x14ac:dyDescent="0.2"/>
  <cols>
    <col min="1" max="1" width="8.33203125" style="3" bestFit="1" customWidth="1"/>
    <col min="2" max="2" width="6.6640625" style="3" bestFit="1" customWidth="1"/>
    <col min="3" max="3" width="9.88671875" style="3" bestFit="1" customWidth="1"/>
    <col min="4" max="4" width="9.21875" style="4" bestFit="1" customWidth="1"/>
    <col min="5" max="5" width="8.44140625" style="4" bestFit="1" customWidth="1"/>
    <col min="6" max="7" width="8.88671875" style="3" bestFit="1" customWidth="1"/>
    <col min="8" max="8" width="11.44140625" style="3" bestFit="1" customWidth="1"/>
    <col min="9" max="9" width="11.21875" style="3" bestFit="1" customWidth="1"/>
    <col min="10" max="10" width="9.77734375" style="3" bestFit="1" customWidth="1"/>
    <col min="11" max="11" width="10.21875" style="3" bestFit="1" customWidth="1"/>
    <col min="12" max="12" width="5.88671875" style="3" bestFit="1" customWidth="1"/>
    <col min="13" max="13" width="8.77734375" style="3"/>
    <col min="14" max="14" width="6.44140625" style="3" bestFit="1" customWidth="1"/>
    <col min="15" max="15" width="5.77734375" style="3" bestFit="1" customWidth="1"/>
    <col min="16" max="16" width="12" style="3" bestFit="1" customWidth="1"/>
    <col min="17" max="17" width="11.5546875" style="3" bestFit="1" customWidth="1"/>
    <col min="18" max="18" width="10.88671875" style="3" bestFit="1" customWidth="1"/>
    <col min="19" max="27" width="5.5546875" style="3" bestFit="1" customWidth="1"/>
    <col min="28" max="34" width="6.33203125" style="3" bestFit="1" customWidth="1"/>
    <col min="35" max="40" width="5.6640625" style="3" bestFit="1" customWidth="1"/>
    <col min="41" max="46" width="5.5546875" style="3" bestFit="1" customWidth="1"/>
    <col min="47" max="52" width="5.44140625" style="3" bestFit="1" customWidth="1"/>
    <col min="53" max="16384" width="8.77734375" style="3"/>
  </cols>
  <sheetData>
    <row r="1" spans="1:52" x14ac:dyDescent="0.2">
      <c r="A1" s="5" t="s">
        <v>0</v>
      </c>
      <c r="B1" s="5" t="s">
        <v>1</v>
      </c>
      <c r="C1" s="5" t="s">
        <v>68</v>
      </c>
      <c r="D1" s="6" t="s">
        <v>2</v>
      </c>
      <c r="E1" s="6" t="s">
        <v>3</v>
      </c>
      <c r="F1" s="5" t="s">
        <v>61</v>
      </c>
      <c r="G1" s="5" t="s">
        <v>9</v>
      </c>
      <c r="H1" s="7" t="s">
        <v>14</v>
      </c>
      <c r="I1" s="7" t="s">
        <v>15</v>
      </c>
      <c r="J1" s="7" t="s">
        <v>16</v>
      </c>
      <c r="K1" s="7" t="s">
        <v>17</v>
      </c>
      <c r="L1" s="7" t="s">
        <v>5</v>
      </c>
      <c r="M1" s="7" t="s">
        <v>18</v>
      </c>
      <c r="N1" s="7" t="s">
        <v>19</v>
      </c>
      <c r="O1" s="7" t="s">
        <v>20</v>
      </c>
      <c r="P1" s="7" t="s">
        <v>67</v>
      </c>
      <c r="Q1" s="7" t="s">
        <v>88</v>
      </c>
      <c r="R1" s="7" t="s">
        <v>89</v>
      </c>
      <c r="S1" s="7" t="s">
        <v>27</v>
      </c>
      <c r="T1" s="7" t="s">
        <v>28</v>
      </c>
      <c r="U1" s="7" t="s">
        <v>29</v>
      </c>
      <c r="V1" s="7" t="s">
        <v>30</v>
      </c>
      <c r="W1" s="7" t="s">
        <v>31</v>
      </c>
      <c r="X1" s="7" t="s">
        <v>32</v>
      </c>
      <c r="Y1" s="7" t="s">
        <v>33</v>
      </c>
      <c r="Z1" s="7" t="s">
        <v>34</v>
      </c>
      <c r="AA1" s="7" t="s">
        <v>35</v>
      </c>
      <c r="AB1" s="7" t="s">
        <v>36</v>
      </c>
      <c r="AC1" s="7" t="s">
        <v>37</v>
      </c>
      <c r="AD1" s="7" t="s">
        <v>38</v>
      </c>
      <c r="AE1" s="7" t="s">
        <v>39</v>
      </c>
      <c r="AF1" s="7" t="s">
        <v>40</v>
      </c>
      <c r="AG1" s="7" t="s">
        <v>41</v>
      </c>
      <c r="AH1" s="7" t="s">
        <v>42</v>
      </c>
      <c r="AI1" s="7" t="s">
        <v>43</v>
      </c>
      <c r="AJ1" s="7" t="s">
        <v>44</v>
      </c>
      <c r="AK1" s="7" t="s">
        <v>45</v>
      </c>
      <c r="AL1" s="7" t="s">
        <v>46</v>
      </c>
      <c r="AM1" s="7" t="s">
        <v>47</v>
      </c>
      <c r="AN1" s="7" t="s">
        <v>48</v>
      </c>
      <c r="AO1" s="7" t="s">
        <v>49</v>
      </c>
      <c r="AP1" s="7" t="s">
        <v>50</v>
      </c>
      <c r="AQ1" s="7" t="s">
        <v>51</v>
      </c>
      <c r="AR1" s="7" t="s">
        <v>52</v>
      </c>
      <c r="AS1" s="7" t="s">
        <v>53</v>
      </c>
      <c r="AT1" s="7" t="s">
        <v>54</v>
      </c>
      <c r="AU1" s="7" t="s">
        <v>55</v>
      </c>
      <c r="AV1" s="7" t="s">
        <v>56</v>
      </c>
      <c r="AW1" s="7" t="s">
        <v>57</v>
      </c>
      <c r="AX1" s="7" t="s">
        <v>58</v>
      </c>
      <c r="AY1" s="7" t="s">
        <v>59</v>
      </c>
      <c r="AZ1" s="7" t="s">
        <v>60</v>
      </c>
    </row>
    <row r="2" spans="1:52" x14ac:dyDescent="0.2">
      <c r="A2" s="11"/>
      <c r="B2" s="11"/>
      <c r="C2" s="11"/>
      <c r="D2" s="12"/>
      <c r="E2" s="12"/>
      <c r="F2" s="11"/>
      <c r="G2" s="11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29"/>
      <c r="AJ2" s="14"/>
      <c r="AK2" s="14"/>
      <c r="AL2" s="14"/>
      <c r="AM2" s="14"/>
      <c r="AN2" s="14"/>
      <c r="AO2" s="15"/>
      <c r="AP2" s="15"/>
      <c r="AQ2" s="15"/>
      <c r="AR2" s="15"/>
      <c r="AS2" s="15"/>
      <c r="AT2" s="15"/>
      <c r="AU2" s="11"/>
      <c r="AV2" s="11"/>
      <c r="AW2" s="11"/>
      <c r="AX2" s="11"/>
      <c r="AY2" s="11"/>
      <c r="AZ2" s="11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3933D-7E23-4344-AC65-4D3704F751A4}">
  <sheetPr codeName="LOOKUP_TABLES">
    <tabColor theme="7" tint="0.59999389629810485"/>
  </sheetPr>
  <dimension ref="A1:O2"/>
  <sheetViews>
    <sheetView workbookViewId="0"/>
  </sheetViews>
  <sheetFormatPr defaultColWidth="8.77734375" defaultRowHeight="10.199999999999999" x14ac:dyDescent="0.2"/>
  <cols>
    <col min="1" max="1" width="8.33203125" style="3" bestFit="1" customWidth="1"/>
    <col min="2" max="2" width="6.6640625" style="3" bestFit="1" customWidth="1"/>
    <col min="3" max="3" width="9.88671875" style="3" bestFit="1" customWidth="1"/>
    <col min="4" max="4" width="9.21875" style="4" bestFit="1" customWidth="1"/>
    <col min="5" max="5" width="8.44140625" style="4" bestFit="1" customWidth="1"/>
    <col min="6" max="6" width="8.77734375" style="3"/>
    <col min="7" max="7" width="11.44140625" style="3" bestFit="1" customWidth="1"/>
    <col min="8" max="8" width="9.44140625" style="3" bestFit="1" customWidth="1"/>
    <col min="9" max="9" width="12" style="4" bestFit="1" customWidth="1"/>
    <col min="10" max="10" width="11.21875" style="4" bestFit="1" customWidth="1"/>
    <col min="11" max="11" width="11.5546875" style="3" bestFit="1" customWidth="1"/>
    <col min="12" max="12" width="8.6640625" style="3" bestFit="1" customWidth="1"/>
    <col min="13" max="13" width="6.44140625" style="3" bestFit="1" customWidth="1"/>
    <col min="14" max="14" width="5.5546875" style="3" bestFit="1" customWidth="1"/>
    <col min="15" max="15" width="5.6640625" style="3" bestFit="1" customWidth="1"/>
    <col min="16" max="16384" width="8.77734375" style="3"/>
  </cols>
  <sheetData>
    <row r="1" spans="1:15" x14ac:dyDescent="0.2">
      <c r="A1" s="5" t="s">
        <v>0</v>
      </c>
      <c r="B1" s="5" t="s">
        <v>1</v>
      </c>
      <c r="C1" s="5" t="s">
        <v>68</v>
      </c>
      <c r="D1" s="6" t="s">
        <v>2</v>
      </c>
      <c r="E1" s="6" t="s">
        <v>3</v>
      </c>
      <c r="F1" s="5" t="s">
        <v>18</v>
      </c>
      <c r="G1" s="5" t="s">
        <v>76</v>
      </c>
      <c r="H1" s="7" t="s">
        <v>72</v>
      </c>
      <c r="I1" s="16" t="s">
        <v>70</v>
      </c>
      <c r="J1" s="16" t="s">
        <v>71</v>
      </c>
      <c r="K1" s="7" t="s">
        <v>73</v>
      </c>
      <c r="L1" s="7" t="s">
        <v>74</v>
      </c>
      <c r="M1" s="7" t="s">
        <v>19</v>
      </c>
      <c r="N1" s="7" t="s">
        <v>77</v>
      </c>
      <c r="O1" s="7" t="s">
        <v>75</v>
      </c>
    </row>
    <row r="2" spans="1:15" x14ac:dyDescent="0.2">
      <c r="A2" s="11"/>
      <c r="B2" s="11"/>
      <c r="C2" s="11"/>
      <c r="D2" s="12"/>
      <c r="E2" s="12"/>
      <c r="F2" s="11"/>
      <c r="G2" s="11"/>
      <c r="H2" s="10"/>
      <c r="I2" s="19"/>
      <c r="J2" s="19"/>
      <c r="K2" s="10"/>
      <c r="L2" s="10"/>
      <c r="M2" s="10"/>
      <c r="N2" s="20"/>
      <c r="O2" s="20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65A6D-65C3-4FA0-8190-103605398409}">
  <sheetPr codeName="RATE_TABLES">
    <tabColor theme="7" tint="0.59999389629810485"/>
  </sheetPr>
  <dimension ref="A1:P2"/>
  <sheetViews>
    <sheetView workbookViewId="0"/>
  </sheetViews>
  <sheetFormatPr defaultColWidth="8.77734375" defaultRowHeight="10.199999999999999" x14ac:dyDescent="0.2"/>
  <cols>
    <col min="1" max="1" width="8.33203125" style="3" bestFit="1" customWidth="1"/>
    <col min="2" max="2" width="6.6640625" style="3" bestFit="1" customWidth="1"/>
    <col min="3" max="3" width="9.88671875" style="3" bestFit="1" customWidth="1"/>
    <col min="4" max="4" width="9.21875" style="4" bestFit="1" customWidth="1"/>
    <col min="5" max="5" width="8.44140625" style="4" bestFit="1" customWidth="1"/>
    <col min="6" max="6" width="16.109375" style="3" bestFit="1" customWidth="1"/>
    <col min="7" max="7" width="11.33203125" style="3" bestFit="1" customWidth="1"/>
    <col min="8" max="8" width="16.109375" style="3" bestFit="1" customWidth="1"/>
    <col min="9" max="9" width="10.6640625" style="3" bestFit="1" customWidth="1"/>
    <col min="10" max="10" width="6" style="3" bestFit="1" customWidth="1"/>
    <col min="11" max="11" width="9.21875" style="3" bestFit="1" customWidth="1"/>
    <col min="12" max="12" width="9.88671875" style="3" bestFit="1" customWidth="1"/>
    <col min="13" max="13" width="5.21875" style="3" bestFit="1" customWidth="1"/>
    <col min="14" max="14" width="8.44140625" style="3" bestFit="1" customWidth="1"/>
    <col min="15" max="15" width="6.44140625" style="3" bestFit="1" customWidth="1"/>
    <col min="16" max="16384" width="8.77734375" style="3"/>
  </cols>
  <sheetData>
    <row r="1" spans="1:16" x14ac:dyDescent="0.2">
      <c r="A1" s="5" t="s">
        <v>0</v>
      </c>
      <c r="B1" s="5" t="s">
        <v>1</v>
      </c>
      <c r="C1" s="5" t="s">
        <v>68</v>
      </c>
      <c r="D1" s="6" t="s">
        <v>2</v>
      </c>
      <c r="E1" s="6" t="s">
        <v>3</v>
      </c>
      <c r="F1" s="7" t="s">
        <v>78</v>
      </c>
      <c r="G1" s="7" t="s">
        <v>79</v>
      </c>
      <c r="H1" s="7" t="s">
        <v>80</v>
      </c>
      <c r="I1" s="7" t="s">
        <v>81</v>
      </c>
      <c r="J1" s="7" t="s">
        <v>6</v>
      </c>
      <c r="K1" s="7" t="s">
        <v>82</v>
      </c>
      <c r="L1" s="7" t="s">
        <v>83</v>
      </c>
      <c r="M1" s="7" t="s">
        <v>7</v>
      </c>
      <c r="N1" s="7" t="s">
        <v>84</v>
      </c>
      <c r="O1" s="7" t="s">
        <v>19</v>
      </c>
      <c r="P1" s="7" t="s">
        <v>18</v>
      </c>
    </row>
    <row r="2" spans="1:16" x14ac:dyDescent="0.2">
      <c r="A2" s="11"/>
      <c r="B2" s="11"/>
      <c r="C2" s="11"/>
      <c r="D2" s="12"/>
      <c r="E2" s="12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0E457-8EB6-4D15-AB2D-DD679975A91E}">
  <sheetPr codeName="FIXED_VALUES">
    <tabColor theme="7" tint="0.59999389629810485"/>
  </sheetPr>
  <dimension ref="A1:G2"/>
  <sheetViews>
    <sheetView workbookViewId="0"/>
  </sheetViews>
  <sheetFormatPr defaultColWidth="8.77734375" defaultRowHeight="10.199999999999999" x14ac:dyDescent="0.2"/>
  <cols>
    <col min="1" max="1" width="8.33203125" style="3" bestFit="1" customWidth="1"/>
    <col min="2" max="2" width="6.6640625" style="3" bestFit="1" customWidth="1"/>
    <col min="3" max="3" width="9.88671875" style="3" bestFit="1" customWidth="1"/>
    <col min="4" max="4" width="9.21875" style="4" bestFit="1" customWidth="1"/>
    <col min="5" max="5" width="8.44140625" style="4" bestFit="1" customWidth="1"/>
    <col min="6" max="6" width="6.44140625" style="3" bestFit="1" customWidth="1"/>
    <col min="7" max="16384" width="8.77734375" style="3"/>
  </cols>
  <sheetData>
    <row r="1" spans="1:7" x14ac:dyDescent="0.2">
      <c r="A1" s="5" t="s">
        <v>0</v>
      </c>
      <c r="B1" s="5" t="s">
        <v>1</v>
      </c>
      <c r="C1" s="5" t="s">
        <v>68</v>
      </c>
      <c r="D1" s="6" t="s">
        <v>2</v>
      </c>
      <c r="E1" s="6" t="s">
        <v>3</v>
      </c>
      <c r="F1" s="7" t="s">
        <v>19</v>
      </c>
      <c r="G1" s="7" t="s">
        <v>18</v>
      </c>
    </row>
    <row r="2" spans="1:7" x14ac:dyDescent="0.2">
      <c r="A2" s="11"/>
      <c r="B2" s="11"/>
      <c r="C2" s="11"/>
      <c r="D2" s="12"/>
      <c r="E2" s="12"/>
      <c r="F2" s="10"/>
      <c r="G2" s="10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C5169-2829-4CDE-8559-3AD08F96157D}">
  <sheetPr codeName="VARIABLES">
    <tabColor theme="7" tint="0.59999389629810485"/>
  </sheetPr>
  <dimension ref="A1:H2"/>
  <sheetViews>
    <sheetView workbookViewId="0"/>
  </sheetViews>
  <sheetFormatPr defaultColWidth="8.77734375" defaultRowHeight="10.199999999999999" x14ac:dyDescent="0.2"/>
  <cols>
    <col min="1" max="1" width="8.33203125" style="27" bestFit="1" customWidth="1"/>
    <col min="2" max="2" width="6.6640625" style="27" bestFit="1" customWidth="1"/>
    <col min="3" max="3" width="9.88671875" style="27" bestFit="1" customWidth="1"/>
    <col min="4" max="4" width="9.21875" style="28" bestFit="1" customWidth="1"/>
    <col min="5" max="5" width="8.44140625" style="28" bestFit="1" customWidth="1"/>
    <col min="6" max="6" width="10.109375" style="27" bestFit="1" customWidth="1"/>
    <col min="7" max="7" width="11.33203125" style="27" bestFit="1" customWidth="1"/>
    <col min="8" max="8" width="7.44140625" style="27" bestFit="1" customWidth="1"/>
    <col min="9" max="16384" width="8.77734375" style="27"/>
  </cols>
  <sheetData>
    <row r="1" spans="1:8" x14ac:dyDescent="0.2">
      <c r="A1" s="24" t="s">
        <v>0</v>
      </c>
      <c r="B1" s="24" t="s">
        <v>1</v>
      </c>
      <c r="C1" s="24" t="s">
        <v>68</v>
      </c>
      <c r="D1" s="25" t="s">
        <v>2</v>
      </c>
      <c r="E1" s="25" t="s">
        <v>3</v>
      </c>
      <c r="F1" s="26" t="s">
        <v>69</v>
      </c>
      <c r="G1" s="26" t="s">
        <v>85</v>
      </c>
      <c r="H1" s="26" t="s">
        <v>86</v>
      </c>
    </row>
    <row r="2" spans="1:8" x14ac:dyDescent="0.2">
      <c r="A2" s="21"/>
      <c r="B2" s="21"/>
      <c r="C2" s="21"/>
      <c r="D2" s="22"/>
      <c r="E2" s="22"/>
      <c r="F2" s="23"/>
      <c r="G2" s="23"/>
      <c r="H2" s="23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E7F10-F940-4D4B-A0D5-6B83CC667AB9}">
  <sheetPr codeName="FORMULAS">
    <tabColor theme="7" tint="0.59999389629810485"/>
  </sheetPr>
  <dimension ref="A1:G2"/>
  <sheetViews>
    <sheetView workbookViewId="0"/>
  </sheetViews>
  <sheetFormatPr defaultColWidth="8.77734375" defaultRowHeight="10.199999999999999" x14ac:dyDescent="0.2"/>
  <cols>
    <col min="1" max="1" width="8.33203125" style="3" bestFit="1" customWidth="1"/>
    <col min="2" max="2" width="6.6640625" style="3" bestFit="1" customWidth="1"/>
    <col min="3" max="3" width="9.88671875" style="3" bestFit="1" customWidth="1"/>
    <col min="4" max="4" width="9.21875" style="4" bestFit="1" customWidth="1"/>
    <col min="5" max="5" width="8.44140625" style="4" bestFit="1" customWidth="1"/>
    <col min="6" max="6" width="8" style="3" bestFit="1" customWidth="1"/>
    <col min="7" max="7" width="10.44140625" style="3" bestFit="1" customWidth="1"/>
    <col min="8" max="16384" width="8.77734375" style="3"/>
  </cols>
  <sheetData>
    <row r="1" spans="1:7" x14ac:dyDescent="0.2">
      <c r="A1" s="5" t="s">
        <v>0</v>
      </c>
      <c r="B1" s="5" t="s">
        <v>1</v>
      </c>
      <c r="C1" s="5" t="s">
        <v>68</v>
      </c>
      <c r="D1" s="6" t="s">
        <v>2</v>
      </c>
      <c r="E1" s="6" t="s">
        <v>3</v>
      </c>
      <c r="F1" s="7" t="s">
        <v>87</v>
      </c>
      <c r="G1" s="7" t="s">
        <v>69</v>
      </c>
    </row>
    <row r="2" spans="1:7" x14ac:dyDescent="0.2">
      <c r="A2" s="11"/>
      <c r="B2" s="11"/>
      <c r="C2" s="11"/>
      <c r="D2" s="12"/>
      <c r="E2" s="12"/>
      <c r="F2" s="10"/>
      <c r="G2" s="10"/>
    </row>
  </sheetData>
  <phoneticPr fontId="3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474BCF04F56241AB1EA344F17B4370" ma:contentTypeVersion="14" ma:contentTypeDescription="Create a new document." ma:contentTypeScope="" ma:versionID="a01f2b92ec0eedff490611a0ea789419">
  <xsd:schema xmlns:xsd="http://www.w3.org/2001/XMLSchema" xmlns:xs="http://www.w3.org/2001/XMLSchema" xmlns:p="http://schemas.microsoft.com/office/2006/metadata/properties" xmlns:ns1="http://schemas.microsoft.com/sharepoint/v3" xmlns:ns2="eb69d244-a151-4d12-9ef2-a5e92a1dd2d3" xmlns:ns3="9f5429a3-bb2d-46fc-8f33-c857627b38f8" targetNamespace="http://schemas.microsoft.com/office/2006/metadata/properties" ma:root="true" ma:fieldsID="307f9a13fda323c652671b5dd32257a7" ns1:_="" ns2:_="" ns3:_="">
    <xsd:import namespace="http://schemas.microsoft.com/sharepoint/v3"/>
    <xsd:import namespace="eb69d244-a151-4d12-9ef2-a5e92a1dd2d3"/>
    <xsd:import namespace="9f5429a3-bb2d-46fc-8f33-c857627b38f8"/>
    <xsd:element name="properties">
      <xsd:complexType>
        <xsd:sequence>
          <xsd:element name="documentManagement">
            <xsd:complexType>
              <xsd:all>
                <xsd:element ref="ns1:_ip_UnifiedCompliancePolicyProperties" minOccurs="0"/>
                <xsd:element ref="ns1:_ip_UnifiedCompliancePolicyUIAction" minOccurs="0"/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69d244-a151-4d12-9ef2-a5e92a1dd2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MediaServiceAutoTags" ma:internalName="MediaServiceAutoTags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5429a3-bb2d-46fc-8f33-c857627b38f8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7B3DBC8-FBCC-4C8C-9DEA-79107E2DB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75BC158-DF49-47D3-B8A3-709E108DDE93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8162E27-23FC-4D64-9433-1174B88B602D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sharepoint/v3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infopath/2007/PartnerControls"/>
    <ds:schemaRef ds:uri="a6a4c18f-6abe-40c9-aeb6-35d79df97614"/>
    <ds:schemaRef ds:uri="cb5bf604-1752-4f94-93a7-07a20b72fa9a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8F6C13F4-B3A8-44C9-A641-FD23DE11E6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69d244-a151-4d12-9ef2-a5e92a1dd2d3"/>
    <ds:schemaRef ds:uri="9f5429a3-bb2d-46fc-8f33-c857627b38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Front</vt:lpstr>
      <vt:lpstr>PLANS</vt:lpstr>
      <vt:lpstr>COMPONENTS</vt:lpstr>
      <vt:lpstr>CREDITRULES</vt:lpstr>
      <vt:lpstr>MEASUREMENTS</vt:lpstr>
      <vt:lpstr>INCENTIVES</vt:lpstr>
      <vt:lpstr>DEPOSITS</vt:lpstr>
      <vt:lpstr>LOOKUP_TABLES</vt:lpstr>
      <vt:lpstr>RATE_TABLES</vt:lpstr>
      <vt:lpstr>FIXED_VALUES</vt:lpstr>
      <vt:lpstr>VARIABLES</vt:lpstr>
      <vt:lpstr>FORMULAS</vt:lpstr>
      <vt:lpstr>Plan_File_Path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SAP-Commissions-XML</dc:title>
  <dc:creator>niro1987</dc:creator>
  <cp:lastModifiedBy>Perfors, Niels (VodafoneZiggo)</cp:lastModifiedBy>
  <cp:lastPrinted>2021-09-02T15:25:35Z</cp:lastPrinted>
  <dcterms:created xsi:type="dcterms:W3CDTF">2021-06-12T08:01:06Z</dcterms:created>
  <dcterms:modified xsi:type="dcterms:W3CDTF">2021-09-09T06:26:50Z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359f705-2ba0-454b-9cfc-6ce5bcaac040_Enabled">
    <vt:lpwstr>true</vt:lpwstr>
  </property>
  <property fmtid="{D5CDD505-2E9C-101B-9397-08002B2CF9AE}" pid="3" name="MSIP_Label_0359f705-2ba0-454b-9cfc-6ce5bcaac040_SetDate">
    <vt:lpwstr>2021-06-12T08:01:39Z</vt:lpwstr>
  </property>
  <property fmtid="{D5CDD505-2E9C-101B-9397-08002B2CF9AE}" pid="4" name="MSIP_Label_0359f705-2ba0-454b-9cfc-6ce5bcaac040_Method">
    <vt:lpwstr>Standard</vt:lpwstr>
  </property>
  <property fmtid="{D5CDD505-2E9C-101B-9397-08002B2CF9AE}" pid="5" name="MSIP_Label_0359f705-2ba0-454b-9cfc-6ce5bcaac040_Name">
    <vt:lpwstr>0359f705-2ba0-454b-9cfc-6ce5bcaac040</vt:lpwstr>
  </property>
  <property fmtid="{D5CDD505-2E9C-101B-9397-08002B2CF9AE}" pid="6" name="MSIP_Label_0359f705-2ba0-454b-9cfc-6ce5bcaac040_SiteId">
    <vt:lpwstr>68283f3b-8487-4c86-adb3-a5228f18b893</vt:lpwstr>
  </property>
  <property fmtid="{D5CDD505-2E9C-101B-9397-08002B2CF9AE}" pid="7" name="MSIP_Label_0359f705-2ba0-454b-9cfc-6ce5bcaac040_ActionId">
    <vt:lpwstr>952fa548-d2bd-4062-8ab3-0000ce3c7e5b</vt:lpwstr>
  </property>
  <property fmtid="{D5CDD505-2E9C-101B-9397-08002B2CF9AE}" pid="8" name="MSIP_Label_0359f705-2ba0-454b-9cfc-6ce5bcaac040_ContentBits">
    <vt:lpwstr>2</vt:lpwstr>
  </property>
  <property fmtid="{D5CDD505-2E9C-101B-9397-08002B2CF9AE}" pid="9" name="ContentTypeId">
    <vt:lpwstr>0x01010028474BCF04F56241AB1EA344F17B4370</vt:lpwstr>
  </property>
</Properties>
</file>